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PFD" sheetId="3" state="visible" r:id="rId5"/>
    <sheet name="CapEx" sheetId="4" state="visible" r:id="rId6"/>
    <sheet name="OpEx" sheetId="5" state="visible" r:id="rId7"/>
    <sheet name="Cash Flow &amp; Sens" sheetId="6" state="visible" r:id="rId8"/>
    <sheet name="ANL Reference" sheetId="7" state="visible" r:id="rId9"/>
    <sheet name="Li Comparison" sheetId="8" state="visible" r:id="rId10"/>
    <sheet name="Model Issu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<sst xmlns="http://schemas.openxmlformats.org/spreadsheetml/2006/main" count="437" uniqueCount="360">
  <si>
    <t xml:space="preserve">Na-ion EV TEA model (Julian Chitu, NA EV TEM project): transcribed tables</t>
  </si>
  <si>
    <t xml:space="preserve">Source</t>
  </si>
  <si>
    <t xml:space="preserve">Values hand-copied from the screenshots in 'NaEv Julian Chitu 1.pdf'. Julian's original .xlsx was not available.</t>
  </si>
  <si>
    <t xml:space="preserve">Purpose</t>
  </si>
  <si>
    <t xml:space="preserve">Working copy of Julian's model, rebuilt with live formulas, as a starting point for the ENGG 192 electrolyte TEA.</t>
  </si>
  <si>
    <t xml:space="preserve">Colour key</t>
  </si>
  <si>
    <t xml:space="preserve">Blue text</t>
  </si>
  <si>
    <t xml:space="preserve">Hard-coded input taken from Julian's slides. Change these.</t>
  </si>
  <si>
    <t xml:space="preserve">Black text</t>
  </si>
  <si>
    <t xml:space="preserve">Formula. Do not overwrite.</t>
  </si>
  <si>
    <t xml:space="preserve">Green text</t>
  </si>
  <si>
    <t xml:space="preserve">Link to another sheet.</t>
  </si>
  <si>
    <t xml:space="preserve">Yellow fill</t>
  </si>
  <si>
    <t xml:space="preserve">Key assumption worth revisiting for the Na-ion electrolyte study.</t>
  </si>
  <si>
    <t xml:space="preserve">Pink fill</t>
  </si>
  <si>
    <t xml:space="preserve">Mass-balance check (should be 0).</t>
  </si>
  <si>
    <t xml:space="preserve">'Julian's value' columns</t>
  </si>
  <si>
    <t xml:space="preserve">Numbers exactly as shown on his slides, kept side by side so you can see where the rebuilt formulas differ.</t>
  </si>
  <si>
    <t xml:space="preserve">Sheets</t>
  </si>
  <si>
    <t xml:space="preserve">Inputs</t>
  </si>
  <si>
    <t xml:space="preserve">Plant basis: pack size, production volume, energy density, losses.</t>
  </si>
  <si>
    <t xml:space="preserve">PFD</t>
  </si>
  <si>
    <t xml:space="preserve">Process flow mass balance, flows 1–10 with checks.</t>
  </si>
  <si>
    <t xml:space="preserve">CapEx</t>
  </si>
  <si>
    <t xml:space="preserve">CapEx/GWh, total CapEx, category and equipment breakdowns.</t>
  </si>
  <si>
    <t xml:space="preserve">OpEx</t>
  </si>
  <si>
    <t xml:space="preserve">Bottom-up material costs and total OpEx.</t>
  </si>
  <si>
    <t xml:space="preserve">Cash Flow &amp; Sens</t>
  </si>
  <si>
    <t xml:space="preserve">Revenue, annualized CapEx, profit, ±20% sensitivity.</t>
  </si>
  <si>
    <t xml:space="preserve">ANL Reference</t>
  </si>
  <si>
    <t xml:space="preserve">Argonne BatPaC 2024 pack cost breakdown and material price table used by Julian.</t>
  </si>
  <si>
    <t xml:space="preserve">Li Comparison</t>
  </si>
  <si>
    <t xml:space="preserve">Julian's qualitative Li vs. Na table.</t>
  </si>
  <si>
    <t xml:space="preserve">Model Issues</t>
  </si>
  <si>
    <t xml:space="preserve">Inconsistencies found in the original model, and what to change for the electrolyte study.</t>
  </si>
  <si>
    <t xml:space="preserve">Inputs: plant basis</t>
  </si>
  <si>
    <t xml:space="preserve">From Julian's 'TEM: Inputs' slide</t>
  </si>
  <si>
    <t xml:space="preserve">Parameter</t>
  </si>
  <si>
    <t xml:space="preserve">Value</t>
  </si>
  <si>
    <t xml:space="preserve">Unit</t>
  </si>
  <si>
    <t xml:space="preserve">Source / note</t>
  </si>
  <si>
    <t xml:space="preserve">Cell energy density</t>
  </si>
  <si>
    <t xml:space="preserve">Wh/kg</t>
  </si>
  <si>
    <t xml:space="preserve">https://www.catl.com/en/news/6401.html</t>
  </si>
  <si>
    <t xml:space="preserve">Range</t>
  </si>
  <si>
    <t xml:space="preserve">km</t>
  </si>
  <si>
    <t xml:space="preserve">Not used downstream</t>
  </si>
  <si>
    <t xml:space="preserve">Cycle life</t>
  </si>
  <si>
    <t xml:space="preserve">cycles</t>
  </si>
  <si>
    <t xml:space="preserve">Batteries per year</t>
  </si>
  <si>
    <t xml:space="preserve">packs/yr</t>
  </si>
  <si>
    <t xml:space="preserve">Scale slide: comparable to UK plant sized for 100k EVs</t>
  </si>
  <si>
    <t xml:space="preserve">Useable capacity</t>
  </si>
  <si>
    <t xml:space="preserve">kWh</t>
  </si>
  <si>
    <t xml:space="preserve">https://ev-database.org/car/2188/Tesla-Model-3-Performance</t>
  </si>
  <si>
    <t xml:space="preserve">Nominal capacity</t>
  </si>
  <si>
    <t xml:space="preserve">Tesla Model 3. Inputs slide shows 78; CapEx slide shows 78.10</t>
  </si>
  <si>
    <t xml:space="preserve">Scrap / failures (Inputs slide)</t>
  </si>
  <si>
    <t xml:space="preserve">fraction</t>
  </si>
  <si>
    <t xml:space="preserve">https://www.mdpi.com/2075-4701/10/8/1107. Conflicts with the 10% used in the PFD</t>
  </si>
  <si>
    <t xml:space="preserve">Calculated</t>
  </si>
  <si>
    <t xml:space="preserve">Total annual production</t>
  </si>
  <si>
    <t xml:space="preserve">GWh/yr</t>
  </si>
  <si>
    <t xml:space="preserve">Julian: 7.81</t>
  </si>
  <si>
    <t xml:space="preserve">Cell mass per battery</t>
  </si>
  <si>
    <t xml:space="preserve">kg/pack</t>
  </si>
  <si>
    <t xml:space="preserve">Julian: 446</t>
  </si>
  <si>
    <t xml:space="preserve">Annual cell mass</t>
  </si>
  <si>
    <t xml:space="preserve">kg/yr</t>
  </si>
  <si>
    <t xml:space="preserve">Julian: 44,628,571</t>
  </si>
  <si>
    <t xml:space="preserve">Housing + BMS share of mass</t>
  </si>
  <si>
    <t xml:space="preserve">https://pubs.rsc.org/en/content/articlelanding/2016/ee/c6ee00640j</t>
  </si>
  <si>
    <t xml:space="preserve">Housing + BMS mass</t>
  </si>
  <si>
    <t xml:space="preserve">Julian: 8,925,714</t>
  </si>
  <si>
    <t xml:space="preserve">Process losses (as used in PFD)</t>
  </si>
  <si>
    <t xml:space="preserve">Loss at cell testing</t>
  </si>
  <si>
    <t xml:space="preserve">fraction of raw material</t>
  </si>
  <si>
    <t xml:space="preserve">PFD: '10% failure for process, split 5% cell testing'</t>
  </si>
  <si>
    <t xml:space="preserve">Loss at QA/QC</t>
  </si>
  <si>
    <t xml:space="preserve">PFD: '5% QA/QC'</t>
  </si>
  <si>
    <t xml:space="preserve">Annual raw material required</t>
  </si>
  <si>
    <t xml:space="preserve">Julian: 49,587,302</t>
  </si>
  <si>
    <t xml:space="preserve">Annual losses</t>
  </si>
  <si>
    <t xml:space="preserve">Julian: 4,958,730</t>
  </si>
  <si>
    <t xml:space="preserve">PFD and mass flow balance</t>
  </si>
  <si>
    <t xml:space="preserve">Electrode prep → Cell assembly → Cell testing → Module assembly → QA/QC → 100k batteries out</t>
  </si>
  <si>
    <t xml:space="preserve">Component</t>
  </si>
  <si>
    <t xml:space="preserve">Mass % of raw</t>
  </si>
  <si>
    <t xml:space="preserve">Description</t>
  </si>
  <si>
    <t xml:space="preserve">Input mass (kg/yr)</t>
  </si>
  <si>
    <t xml:space="preserve">Julian's value</t>
  </si>
  <si>
    <t xml:space="preserve">Electrolyte</t>
  </si>
  <si>
    <t xml:space="preserve">Na salts in ethylene or propylene carbonate</t>
  </si>
  <si>
    <t xml:space="preserve">Cathode</t>
  </si>
  <si>
    <t xml:space="preserve">Prussian White, Na2Fe[Fe(CN)6]</t>
  </si>
  <si>
    <t xml:space="preserve">Anode</t>
  </si>
  <si>
    <t xml:space="preserve">Hard carbon</t>
  </si>
  <si>
    <t xml:space="preserve">Housing / casing</t>
  </si>
  <si>
    <t xml:space="preserve">Slide shows 11,404,080 kg; 23% of raw gives 11,405,079 (≈1,000 kg typo, source of the −1 check)</t>
  </si>
  <si>
    <t xml:space="preserve">Other</t>
  </si>
  <si>
    <t xml:space="preserve">Split below</t>
  </si>
  <si>
    <t xml:space="preserve">Total</t>
  </si>
  <si>
    <t xml:space="preserve">'Other' split</t>
  </si>
  <si>
    <t xml:space="preserve">Share of raw</t>
  </si>
  <si>
    <t xml:space="preserve">Enters at</t>
  </si>
  <si>
    <t xml:space="preserve">Mass (kg/yr)</t>
  </si>
  <si>
    <t xml:space="preserve">Binders &amp; conductive additives</t>
  </si>
  <si>
    <t xml:space="preserve">Electrode prep</t>
  </si>
  <si>
    <t xml:space="preserve">Separator membrane</t>
  </si>
  <si>
    <t xml:space="preserve">Cell assembly</t>
  </si>
  <si>
    <t xml:space="preserve">BMS, wiring, foam, mech. supports</t>
  </si>
  <si>
    <t xml:space="preserve">Module assembly</t>
  </si>
  <si>
    <t xml:space="preserve">Total (must equal 'Other' above)</t>
  </si>
  <si>
    <t xml:space="preserve">← check (0)</t>
  </si>
  <si>
    <t xml:space="preserve">Flow #</t>
  </si>
  <si>
    <t xml:space="preserve">Formula</t>
  </si>
  <si>
    <t xml:space="preserve">Electrode materials in (cathode + anode + binders/conductive)</t>
  </si>
  <si>
    <t xml:space="preserve">D6+D7+D13</t>
  </si>
  <si>
    <t xml:space="preserve">Electrodes out of prep</t>
  </si>
  <si>
    <t xml:space="preserve">D19</t>
  </si>
  <si>
    <t xml:space="preserve">Cell assembly inputs (electrolyte + separator + housing)</t>
  </si>
  <si>
    <t xml:space="preserve">D5+D14+D8</t>
  </si>
  <si>
    <t xml:space="preserve">Cells out of assembly</t>
  </si>
  <si>
    <t xml:space="preserve">D20+D21</t>
  </si>
  <si>
    <t xml:space="preserve">Cell testing losses</t>
  </si>
  <si>
    <t xml:space="preserve">Inputs!B22*Inputs!B20</t>
  </si>
  <si>
    <t xml:space="preserve">Cells passing test</t>
  </si>
  <si>
    <t xml:space="preserve">D22-D23</t>
  </si>
  <si>
    <t xml:space="preserve">Module inputs (BMS, wiring, foam, supports)</t>
  </si>
  <si>
    <t xml:space="preserve">D15</t>
  </si>
  <si>
    <t xml:space="preserve">Modules out of assembly</t>
  </si>
  <si>
    <t xml:space="preserve">D24+D25</t>
  </si>
  <si>
    <t xml:space="preserve">QA/QC losses</t>
  </si>
  <si>
    <t xml:space="preserve">Inputs!B22*Inputs!B21</t>
  </si>
  <si>
    <t xml:space="preserve">Batteries out (100k packs)</t>
  </si>
  <si>
    <t xml:space="preserve">D26-D27</t>
  </si>
  <si>
    <t xml:space="preserve">Check</t>
  </si>
  <si>
    <t xml:space="preserve">Rule</t>
  </si>
  <si>
    <t xml:space="preserve">Difference (kg)</t>
  </si>
  <si>
    <t xml:space="preserve">Julian's</t>
  </si>
  <si>
    <t xml:space="preserve">1 = 2</t>
  </si>
  <si>
    <t xml:space="preserve">2 + 3 = 4</t>
  </si>
  <si>
    <t xml:space="preserve">4 = 5 + 6</t>
  </si>
  <si>
    <t xml:space="preserve">6 + 7 = 8</t>
  </si>
  <si>
    <t xml:space="preserve">8 = 9 + 10</t>
  </si>
  <si>
    <t xml:space="preserve">Flow 10 = annual cell mass</t>
  </si>
  <si>
    <t xml:space="preserve">Inputs = outputs + losses</t>
  </si>
  <si>
    <t xml:space="preserve">Capital costs</t>
  </si>
  <si>
    <t xml:space="preserve">From Julian's 'TEM: Capital Costs' slide</t>
  </si>
  <si>
    <t xml:space="preserve">Plant capacity</t>
  </si>
  <si>
    <t xml:space="preserve">CapEx per GWh (from exponential fit)</t>
  </si>
  <si>
    <t xml:space="preserve">M$/GWh</t>
  </si>
  <si>
    <t xml:space="preserve">Read at 7.81 GWh from Julian's exponential fit to KTH capstone scaling data: https://kth.diva-portal.org/smash/get/diva2:1789574/FULLTEXT01.pdf</t>
  </si>
  <si>
    <t xml:space="preserve">Total CapEx</t>
  </si>
  <si>
    <t xml:space="preserve">M$</t>
  </si>
  <si>
    <t xml:space="preserve">Julian: 458.02 in cash flow sheet (used 7.80 GWh); 458.6 in breakdown table</t>
  </si>
  <si>
    <t xml:space="preserve">Fit data points (approx., read off chart)</t>
  </si>
  <si>
    <t xml:space="preserve">Plant capacity (GWh)</t>
  </si>
  <si>
    <t xml:space="preserve">CapEx (M$/GWh)</t>
  </si>
  <si>
    <t xml:space="preserve">Values estimated visually from the chart; fit coefficients were not shown</t>
  </si>
  <si>
    <t xml:space="preserve">Secondary check</t>
  </si>
  <si>
    <t xml:space="preserve">This model at 50 GWh/yr</t>
  </si>
  <si>
    <t xml:space="preserve">Argonne 2024 at 50 GWh/yr</t>
  </si>
  <si>
    <t xml:space="preserve">https://www.anl.gov/sites/www/files/2024-11/GPRA2024_06Nov2024.pdf</t>
  </si>
  <si>
    <t xml:space="preserve">Ratio (model / Argonne)</t>
  </si>
  <si>
    <t xml:space="preserve">CapEx category</t>
  </si>
  <si>
    <t xml:space="preserve">% of total</t>
  </si>
  <si>
    <t xml:space="preserve">Julian's M$</t>
  </si>
  <si>
    <t xml:space="preserve">Manufacturing equipment</t>
  </si>
  <si>
    <t xml:space="preserve">Facility construction</t>
  </si>
  <si>
    <t xml:space="preserve">Engineering &amp; installation</t>
  </si>
  <si>
    <t xml:space="preserve">Site development &amp; permitting</t>
  </si>
  <si>
    <t xml:space="preserve">Initial inventory &amp; testing</t>
  </si>
  <si>
    <t xml:space="preserve">Contingency &amp; overhead</t>
  </si>
  <si>
    <t xml:space="preserve">Equipment subcategory</t>
  </si>
  <si>
    <t xml:space="preserve">% of equipment</t>
  </si>
  <si>
    <t xml:space="preserve">Electrode production</t>
  </si>
  <si>
    <t xml:space="preserve">Formation &amp; aging</t>
  </si>
  <si>
    <t xml:space="preserve">Testing &amp; sorting</t>
  </si>
  <si>
    <t xml:space="preserve">Material handling &amp; automation</t>
  </si>
  <si>
    <t xml:space="preserve">Environmental systems (HVAC, dry room)</t>
  </si>
  <si>
    <t xml:space="preserve">Dry room / H₂S handling for solid electrolytes would raise this line</t>
  </si>
  <si>
    <t xml:space="preserve">Operating costs</t>
  </si>
  <si>
    <t xml:space="preserve">From Julian's 'TEM: Operating Costs' slide. Prices from Argonne BatPaC 2024 (Li-ion materials)</t>
  </si>
  <si>
    <t xml:space="preserve">Note</t>
  </si>
  <si>
    <t xml:space="preserve">Annual raw material</t>
  </si>
  <si>
    <t xml:space="preserve">Electrolyte density</t>
  </si>
  <si>
    <t xml:space="preserve">kg/L</t>
  </si>
  <si>
    <t xml:space="preserve">Not stated by Julian; 1.2 kg/L reproduces his electrolyte cost exactly</t>
  </si>
  <si>
    <t xml:space="preserve">Materials + purchased items + BMS share of total cost</t>
  </si>
  <si>
    <t xml:space="preserve">Julian's 'Combined Mat/PI/BMS'. See ANL Reference for what the 2024 table gives</t>
  </si>
  <si>
    <t xml:space="preserve">Mass %</t>
  </si>
  <si>
    <t xml:space="preserve">Unit price</t>
  </si>
  <si>
    <t xml:space="preserve">Cost ($/yr)</t>
  </si>
  <si>
    <t xml:space="preserve">Julian's cost ($)</t>
  </si>
  <si>
    <t xml:space="preserve">Price source / note</t>
  </si>
  <si>
    <t xml:space="preserve">$/L</t>
  </si>
  <si>
    <t xml:space="preserve">ANL 2024 electrolyte $/L (Li-ion LiPF6/carbonate)</t>
  </si>
  <si>
    <t xml:space="preserve">Cathode (Prussian White)</t>
  </si>
  <si>
    <t xml:space="preserve">$/kg</t>
  </si>
  <si>
    <t xml:space="preserve">ANL 2024 NMC811 price, not Prussian White</t>
  </si>
  <si>
    <t xml:space="preserve">Anode (hard carbon)</t>
  </si>
  <si>
    <t xml:space="preserve">ANL 2024 graphite price, not hard carbon</t>
  </si>
  <si>
    <t xml:space="preserve">Housing</t>
  </si>
  <si>
    <t xml:space="preserve">Separator</t>
  </si>
  <si>
    <t xml:space="preserve">$/m² (applied per kg)</t>
  </si>
  <si>
    <t xml:space="preserve">Unit mismatch: $/m² price multiplied by kg</t>
  </si>
  <si>
    <t xml:space="preserve">Binders</t>
  </si>
  <si>
    <t xml:space="preserve">ANL positive binder</t>
  </si>
  <si>
    <t xml:space="preserve">Conductive carbon</t>
  </si>
  <si>
    <t xml:space="preserve">Collector foil</t>
  </si>
  <si>
    <t xml:space="preserve">ANL gives $/m² (Al 0.40, Cu 1.20)</t>
  </si>
  <si>
    <t xml:space="preserve">Total materials</t>
  </si>
  <si>
    <t xml:space="preserve">Electrolyte share of material cost</t>
  </si>
  <si>
    <t xml:space="preserve">Summary</t>
  </si>
  <si>
    <t xml:space="preserve">M$/yr</t>
  </si>
  <si>
    <t xml:space="preserve">Material cost</t>
  </si>
  <si>
    <t xml:space="preserve">Total OpEx (= materials / share)</t>
  </si>
  <si>
    <t xml:space="preserve">Non-material OpEx (labor, energy, depreciation, overhead)</t>
  </si>
  <si>
    <t xml:space="preserve">OpEx per kWh</t>
  </si>
  <si>
    <t xml:space="preserve">$/kWh</t>
  </si>
  <si>
    <t xml:space="preserve">Electrolyte cost per kWh</t>
  </si>
  <si>
    <t xml:space="preserve">Total costs, profit and sensitivities</t>
  </si>
  <si>
    <t xml:space="preserve">From Julian's 'TEM: Total Costs and Sensitivities' slide</t>
  </si>
  <si>
    <t xml:space="preserve">Total OpEx</t>
  </si>
  <si>
    <t xml:space="preserve">Pack cost, no margin</t>
  </si>
  <si>
    <t xml:space="preserve">$/pack</t>
  </si>
  <si>
    <t xml:space="preserve">ANL 2024 total pack cost minus profits (Li-ion NMC pack)</t>
  </si>
  <si>
    <t xml:space="preserve">Margin</t>
  </si>
  <si>
    <t xml:space="preserve">Discount rate</t>
  </si>
  <si>
    <t xml:space="preserve">Recovery period</t>
  </si>
  <si>
    <t xml:space="preserve">yr</t>
  </si>
  <si>
    <t xml:space="preserve">Short vs. typical 10–15 yr equipment life</t>
  </si>
  <si>
    <t xml:space="preserve">Annuity factor</t>
  </si>
  <si>
    <t xml:space="preserve">EAC (annualized CapEx)</t>
  </si>
  <si>
    <t xml:space="preserve">Sale price per pack</t>
  </si>
  <si>
    <t xml:space="preserve">Total yearly sales</t>
  </si>
  <si>
    <t xml:space="preserve">Net profit, years 1–3</t>
  </si>
  <si>
    <t xml:space="preserve">Net profit after recovery</t>
  </si>
  <si>
    <t xml:space="preserve">Sensitivity: change in profit, years 1–3 (M$/yr), one parameter at a time</t>
  </si>
  <si>
    <t xml:space="preserve">Swing</t>
  </si>
  <si>
    <t xml:space="preserve">Base (M$/yr)</t>
  </si>
  <si>
    <t xml:space="preserve">Δ profit at −swing</t>
  </si>
  <si>
    <t xml:space="preserve">Δ profit at +swing</t>
  </si>
  <si>
    <t xml:space="preserve">Julian's |Δ| (approx.)</t>
  </si>
  <si>
    <t xml:space="preserve">Cathode cost</t>
  </si>
  <si>
    <t xml:space="preserve">CapEx (EAC)</t>
  </si>
  <si>
    <t xml:space="preserve">OpEx (non-material)</t>
  </si>
  <si>
    <t xml:space="preserve">Sales price (margin)</t>
  </si>
  <si>
    <t xml:space="preserve">Anode cost</t>
  </si>
  <si>
    <t xml:space="preserve">Electrolyte cost</t>
  </si>
  <si>
    <t xml:space="preserve">Cost items: +20% cost lowers profit. Julian's tornado labels cost increases as the green (positive) bar, which looks reversed.</t>
  </si>
  <si>
    <t xml:space="preserve">Argonne reference tables (as used by Julian)</t>
  </si>
  <si>
    <t xml:space="preserve">Source: https://www.anl.gov/sites/www/files/2024-11/GPRA2024_06Nov2024.pdf (BatPaC, Li-ion NMC811/graphite pack)</t>
  </si>
  <si>
    <t xml:space="preserve">Pack cost breakdown ($/pack)</t>
  </si>
  <si>
    <t xml:space="preserve">2023</t>
  </si>
  <si>
    <t xml:space="preserve">2024</t>
  </si>
  <si>
    <t xml:space="preserve">Materials</t>
  </si>
  <si>
    <t xml:space="preserve">Purchased items</t>
  </si>
  <si>
    <t xml:space="preserve">BMS</t>
  </si>
  <si>
    <t xml:space="preserve">Energy</t>
  </si>
  <si>
    <t xml:space="preserve">Depreciation</t>
  </si>
  <si>
    <t xml:space="preserve">Labor</t>
  </si>
  <si>
    <t xml:space="preserve">Other variable overhead</t>
  </si>
  <si>
    <t xml:space="preserve">Other GSA</t>
  </si>
  <si>
    <t xml:space="preserve">R&amp;D</t>
  </si>
  <si>
    <t xml:space="preserve">Financing</t>
  </si>
  <si>
    <t xml:space="preserve">Profits</t>
  </si>
  <si>
    <t xml:space="preserve">Warranty</t>
  </si>
  <si>
    <t xml:space="preserve">Total pack cost (as published)</t>
  </si>
  <si>
    <t xml:space="preserve">Sum of lines (check)</t>
  </si>
  <si>
    <t xml:space="preserve">Materials + purchased items + BMS share</t>
  </si>
  <si>
    <t xml:space="preserve">Compare with the 77% Julian used on the OpEx sheet</t>
  </si>
  <si>
    <t xml:space="preserve">Material price assumptions</t>
  </si>
  <si>
    <t xml:space="preserve">2019</t>
  </si>
  <si>
    <t xml:space="preserve">2020</t>
  </si>
  <si>
    <t xml:space="preserve">2021</t>
  </si>
  <si>
    <t xml:space="preserve">2022</t>
  </si>
  <si>
    <t xml:space="preserve">Cathode active material (CAM)</t>
  </si>
  <si>
    <t xml:space="preserve">NMC622</t>
  </si>
  <si>
    <t xml:space="preserve">NMC811</t>
  </si>
  <si>
    <t xml:space="preserve">Cathode active material, $/kg</t>
  </si>
  <si>
    <t xml:space="preserve">Graphite, $/kg</t>
  </si>
  <si>
    <t xml:space="preserve">Electrolyte, $/L</t>
  </si>
  <si>
    <t xml:space="preserve">Separator, $/m²</t>
  </si>
  <si>
    <t xml:space="preserve">Aluminum current collector, $/m²</t>
  </si>
  <si>
    <t xml:space="preserve">Copper current collector, $/m²</t>
  </si>
  <si>
    <t xml:space="preserve">Positive binder, $/kg</t>
  </si>
  <si>
    <t xml:space="preserve">NMP, $/kg</t>
  </si>
  <si>
    <t xml:space="preserve">All prices are for Li-ion materials. Na-ion equivalents (Prussian White, hard carbon, NaPF₆ electrolyte) need their own sources.</t>
  </si>
  <si>
    <t xml:space="preserve">Comparison with Li (qualitative, from Julian's slide)</t>
  </si>
  <si>
    <t xml:space="preserve">Category</t>
  </si>
  <si>
    <t xml:space="preserve">Lithium-ion</t>
  </si>
  <si>
    <t xml:space="preserve">Sodium-ion</t>
  </si>
  <si>
    <t xml:space="preserve">Energy density</t>
  </si>
  <si>
    <t xml:space="preserve">High (200–250 Wh/kg)</t>
  </si>
  <si>
    <t xml:space="preserve">Moderate (100–175 Wh/kg)</t>
  </si>
  <si>
    <t xml:space="preserve">Material abundance</t>
  </si>
  <si>
    <t xml:space="preserve">Limited</t>
  </si>
  <si>
    <t xml:space="preserve">Abundant</t>
  </si>
  <si>
    <t xml:space="preserve">Raw material cost</t>
  </si>
  <si>
    <t xml:space="preserve">High</t>
  </si>
  <si>
    <t xml:space="preserve">Low</t>
  </si>
  <si>
    <t xml:space="preserve">Thermal stability</t>
  </si>
  <si>
    <t xml:space="preserve">Moderate</t>
  </si>
  <si>
    <t xml:space="preserve">Charging compatibility</t>
  </si>
  <si>
    <t xml:space="preserve">Mature and well-supported</t>
  </si>
  <si>
    <t xml:space="preserve">Developing, may need adaptation</t>
  </si>
  <si>
    <t xml:space="preserve">Market maturity</t>
  </si>
  <si>
    <t xml:space="preserve">Global</t>
  </si>
  <si>
    <t xml:space="preserve">Emerging, early commercialization phase</t>
  </si>
  <si>
    <t xml:space="preserve">Environmental impact</t>
  </si>
  <si>
    <t xml:space="preserve">Low (claim, not quantified — your LCA tests this)</t>
  </si>
  <si>
    <t xml:space="preserve">OEM adoption</t>
  </si>
  <si>
    <t xml:space="preserve">High (almost all current EVs)</t>
  </si>
  <si>
    <t xml:space="preserve">Low (R&amp;D and China)</t>
  </si>
  <si>
    <t xml:space="preserve">Issues in the original model and changes for the ENGG 192 electrolyte TEA</t>
  </si>
  <si>
    <t xml:space="preserve">#</t>
  </si>
  <si>
    <t xml:space="preserve">Where</t>
  </si>
  <si>
    <t xml:space="preserve">Issue</t>
  </si>
  <si>
    <t xml:space="preserve">Effect</t>
  </si>
  <si>
    <t xml:space="preserve">Suggested change</t>
  </si>
  <si>
    <t xml:space="preserve">Cathode priced at NMC811 ($22/kg), anode at graphite ($9.50/kg)</t>
  </si>
  <si>
    <t xml:space="preserve">Cathode dominates cost; 'cathode drives profitability' is partly an artifact</t>
  </si>
  <si>
    <t xml:space="preserve">Source Prussian White and hard carbon prices</t>
  </si>
  <si>
    <t xml:space="preserve">Cash Flow</t>
  </si>
  <si>
    <t xml:space="preserve">Revenue = Li-ion pack cost + 10% margin</t>
  </si>
  <si>
    <t xml:space="preserve">Profit is circular; says little about Na-ion competitiveness</t>
  </si>
  <si>
    <t xml:space="preserve">Report levelized cost ($/kWh) or minimum selling price instead of profit</t>
  </si>
  <si>
    <t xml:space="preserve">Total OpEx scaled from materials with a Li-ion ratio (77%)</t>
  </si>
  <si>
    <t xml:space="preserve">Non-material costs are not modeled bottom-up</t>
  </si>
  <si>
    <t xml:space="preserve">Build labor, energy, dry room, depreciation lines directly</t>
  </si>
  <si>
    <t xml:space="preserve">3-year CapEx recovery</t>
  </si>
  <si>
    <t xml:space="preserve">Overstates annualized CapEx in years 1–3; profit jumps after year 3</t>
  </si>
  <si>
    <t xml:space="preserve">Use 10–15 yr plant life and a full NPV or levelized cost</t>
  </si>
  <si>
    <t xml:space="preserve">Inputs vs PFD</t>
  </si>
  <si>
    <t xml:space="preserve">Scrap = 0 on Inputs, 10% losses in PFD</t>
  </si>
  <si>
    <t xml:space="preserve">Inconsistent basis</t>
  </si>
  <si>
    <t xml:space="preserve">One loss parameter per process step, used everywhere</t>
  </si>
  <si>
    <t xml:space="preserve">PFD vs OpEx</t>
  </si>
  <si>
    <t xml:space="preserve">'Other' = binders + separator + BMS in PFD, but binders + conductive + separator + collector foil in OpEx</t>
  </si>
  <si>
    <t xml:space="preserve">BMS disappears from costing; collector foil appears</t>
  </si>
  <si>
    <t xml:space="preserve">Use one component list across sheets</t>
  </si>
  <si>
    <t xml:space="preserve">Separator ($/m²) and collector foil ($/m²) multiplied by kg</t>
  </si>
  <si>
    <t xml:space="preserve">Unit error</t>
  </si>
  <si>
    <t xml:space="preserve">Convert via areal density (g/m²) or area per kWh</t>
  </si>
  <si>
    <t xml:space="preserve">Housing typo (11,404,080 vs 11,405,079 kg)</t>
  </si>
  <si>
    <t xml:space="preserve">−1 kg mass balance check</t>
  </si>
  <si>
    <t xml:space="preserve">Fixed here by using formulas</t>
  </si>
  <si>
    <t xml:space="preserve">Cycle life and range not used</t>
  </si>
  <si>
    <t xml:space="preserve">No lifetime or $/kWh-cycle metric</t>
  </si>
  <si>
    <t xml:space="preserve">For stationary storage, add cycle life to a levelized cost of storage</t>
  </si>
  <si>
    <t xml:space="preserve">Sensitivity</t>
  </si>
  <si>
    <t xml:space="preserve">One-at-a-time ±20% only</t>
  </si>
  <si>
    <t xml:space="preserve">No interactions or uncertainty ranges</t>
  </si>
  <si>
    <t xml:space="preserve">Add scenario ranges or Monte Carlo on TRL-sensitive parameters</t>
  </si>
  <si>
    <t xml:space="preserve">Scope (ENGG 192)</t>
  </si>
  <si>
    <t xml:space="preserve">Pack-level EV plant</t>
  </si>
  <si>
    <t xml:space="preserve">Electrolyte is 14% of mass and one line of cost</t>
  </si>
  <si>
    <t xml:space="preserve">Move the boundary to electrolyte production + cell integration; keep this liquid cell as the NaPF₆ baseline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</si>
</sst>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#,##0.00"/>
    <numFmt numFmtId="167" formatCode="0.0%"/>
    <numFmt numFmtId="168" formatCode="#,##0.0;\-#,##0.0;0"/>
    <numFmt numFmtId="169" formatCode="0.00"/>
    <numFmt numFmtId="170" formatCode="\$#,##0;&quot;($&quot;#,##0\);\-"/>
    <numFmt numFmtId="171" formatCode="\$#,##0.0"/>
    <numFmt numFmtId="172" formatCode="\$#,##0.00"/>
    <numFmt numFmtId="173" formatCode="0"/>
    <numFmt numFmtId="174" formatCode="0.000"/>
    <numFmt numFmtId="175" formatCode="#,##0.0;\(#,##0.0\)"/>
    <numFmt numFmtId="176" formatCode="\$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DCDB"/>
        <bgColor rgb="FFDCE6F1"/>
      </patternFill>
    </fill>
    <fill>
      <patternFill patternType="solid">
        <fgColor rgb="FFDCE6F1"/>
        <bgColor rgb="FFF2DCD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3"/>
      <c r="B5" s="3"/>
    </row>
    <row r="6" customFormat="false" ht="15" hidden="false" customHeight="false" outlineLevel="0" collapsed="false">
      <c r="A6" s="2" t="s">
        <v>5</v>
      </c>
      <c r="B6" s="3"/>
    </row>
    <row r="7" customFormat="false" ht="15" hidden="false" customHeight="false" outlineLevel="0" collapsed="false">
      <c r="A7" s="4" t="s">
        <v>6</v>
      </c>
      <c r="B7" s="3" t="s">
        <v>7</v>
      </c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5" t="s">
        <v>10</v>
      </c>
      <c r="B9" s="3" t="s">
        <v>11</v>
      </c>
    </row>
    <row r="10" customFormat="false" ht="15" hidden="false" customHeight="false" outlineLevel="0" collapsed="false">
      <c r="A10" s="6" t="s">
        <v>12</v>
      </c>
      <c r="B10" s="3" t="s">
        <v>13</v>
      </c>
    </row>
    <row r="11" customFormat="false" ht="15" hidden="false" customHeight="false" outlineLevel="0" collapsed="false">
      <c r="A11" s="7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3"/>
      <c r="B13" s="3"/>
    </row>
    <row r="14" customFormat="false" ht="15" hidden="false" customHeight="false" outlineLevel="0" collapsed="false">
      <c r="A14" s="2" t="s">
        <v>18</v>
      </c>
      <c r="B14" s="3"/>
    </row>
    <row r="15" customFormat="false" ht="15" hidden="false" customHeight="false" outlineLevel="0" collapsed="false">
      <c r="A15" s="2" t="s">
        <v>19</v>
      </c>
      <c r="B15" s="3" t="s">
        <v>20</v>
      </c>
    </row>
    <row r="16" customFormat="false" ht="15" hidden="false" customHeight="false" outlineLevel="0" collapsed="false">
      <c r="A16" s="2" t="s">
        <v>21</v>
      </c>
      <c r="B16" s="3" t="s">
        <v>22</v>
      </c>
    </row>
    <row r="17" customFormat="false" ht="1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2" t="s">
        <v>25</v>
      </c>
      <c r="B18" s="3" t="s">
        <v>26</v>
      </c>
    </row>
    <row r="19" customFormat="false" ht="15" hidden="false" customHeight="false" outlineLevel="0" collapsed="false">
      <c r="A19" s="2" t="s">
        <v>27</v>
      </c>
      <c r="B19" s="3" t="s">
        <v>28</v>
      </c>
    </row>
    <row r="20" customFormat="false" ht="15" hidden="false" customHeight="false" outlineLevel="0" collapsed="false">
      <c r="A20" s="2" t="s">
        <v>29</v>
      </c>
      <c r="B20" s="3" t="s">
        <v>30</v>
      </c>
    </row>
    <row r="21" customFormat="false" ht="15" hidden="false" customHeight="false" outlineLevel="0" collapsed="false">
      <c r="A21" s="2" t="s">
        <v>31</v>
      </c>
      <c r="B21" s="3" t="s">
        <v>32</v>
      </c>
    </row>
    <row r="22" customFormat="false" ht="15" hidden="false" customHeight="false" outlineLevel="0" collapsed="false">
      <c r="A22" s="2" t="s">
        <v>33</v>
      </c>
      <c r="B22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8" t="s">
        <v>36</v>
      </c>
    </row>
    <row r="3" customFormat="false" ht="15" hidden="false" customHeight="false" outlineLevel="0" collapsed="false">
      <c r="A3" s="9" t="s">
        <v>37</v>
      </c>
      <c r="B3" s="9" t="s">
        <v>38</v>
      </c>
      <c r="C3" s="9" t="s">
        <v>39</v>
      </c>
      <c r="D3" s="9" t="s">
        <v>40</v>
      </c>
    </row>
    <row r="4" customFormat="false" ht="15" hidden="false" customHeight="false" outlineLevel="0" collapsed="false">
      <c r="A4" s="3" t="s">
        <v>41</v>
      </c>
      <c r="B4" s="10" t="n">
        <v>175</v>
      </c>
      <c r="C4" s="3" t="s">
        <v>42</v>
      </c>
      <c r="D4" s="8" t="s">
        <v>43</v>
      </c>
    </row>
    <row r="5" customFormat="false" ht="15" hidden="false" customHeight="false" outlineLevel="0" collapsed="false">
      <c r="A5" s="3" t="s">
        <v>44</v>
      </c>
      <c r="B5" s="11" t="n">
        <v>500</v>
      </c>
      <c r="C5" s="3" t="s">
        <v>45</v>
      </c>
      <c r="D5" s="8" t="s">
        <v>46</v>
      </c>
    </row>
    <row r="6" customFormat="false" ht="15" hidden="false" customHeight="false" outlineLevel="0" collapsed="false">
      <c r="A6" s="3" t="s">
        <v>47</v>
      </c>
      <c r="B6" s="11" t="n">
        <v>10000</v>
      </c>
      <c r="C6" s="3" t="s">
        <v>48</v>
      </c>
      <c r="D6" s="8" t="s">
        <v>46</v>
      </c>
    </row>
    <row r="7" customFormat="false" ht="15" hidden="false" customHeight="false" outlineLevel="0" collapsed="false">
      <c r="A7" s="3" t="s">
        <v>49</v>
      </c>
      <c r="B7" s="10" t="n">
        <v>100000</v>
      </c>
      <c r="C7" s="3" t="s">
        <v>50</v>
      </c>
      <c r="D7" s="8" t="s">
        <v>51</v>
      </c>
    </row>
    <row r="8" customFormat="false" ht="15" hidden="false" customHeight="false" outlineLevel="0" collapsed="false">
      <c r="A8" s="3" t="s">
        <v>52</v>
      </c>
      <c r="B8" s="12" t="n">
        <v>75</v>
      </c>
      <c r="C8" s="3" t="s">
        <v>53</v>
      </c>
      <c r="D8" s="8" t="s">
        <v>54</v>
      </c>
    </row>
    <row r="9" customFormat="false" ht="15" hidden="false" customHeight="false" outlineLevel="0" collapsed="false">
      <c r="A9" s="3" t="s">
        <v>55</v>
      </c>
      <c r="B9" s="13" t="n">
        <v>78.1</v>
      </c>
      <c r="C9" s="3" t="s">
        <v>53</v>
      </c>
      <c r="D9" s="8" t="s">
        <v>56</v>
      </c>
    </row>
    <row r="10" customFormat="false" ht="15" hidden="false" customHeight="false" outlineLevel="0" collapsed="false">
      <c r="A10" s="3" t="s">
        <v>57</v>
      </c>
      <c r="B10" s="12" t="n">
        <v>0</v>
      </c>
      <c r="C10" s="3" t="s">
        <v>58</v>
      </c>
      <c r="D10" s="8" t="s">
        <v>59</v>
      </c>
    </row>
    <row r="12" customFormat="false" ht="15" hidden="false" customHeight="false" outlineLevel="0" collapsed="false">
      <c r="A12" s="2" t="s">
        <v>60</v>
      </c>
    </row>
    <row r="13" customFormat="false" ht="15" hidden="false" customHeight="false" outlineLevel="0" collapsed="false">
      <c r="A13" s="3" t="s">
        <v>61</v>
      </c>
      <c r="B13" s="14" t="n">
        <f aca="false">B9*B7/1000000</f>
        <v>7.81</v>
      </c>
      <c r="C13" s="3" t="s">
        <v>62</v>
      </c>
      <c r="D13" s="8" t="s">
        <v>63</v>
      </c>
    </row>
    <row r="14" customFormat="false" ht="15" hidden="false" customHeight="false" outlineLevel="0" collapsed="false">
      <c r="A14" s="3" t="s">
        <v>64</v>
      </c>
      <c r="B14" s="14" t="n">
        <f aca="false">B9*1000/B4</f>
        <v>446.285714285714</v>
      </c>
      <c r="C14" s="3" t="s">
        <v>65</v>
      </c>
      <c r="D14" s="8" t="s">
        <v>66</v>
      </c>
    </row>
    <row r="15" customFormat="false" ht="15" hidden="false" customHeight="false" outlineLevel="0" collapsed="false">
      <c r="A15" s="3" t="s">
        <v>67</v>
      </c>
      <c r="B15" s="15" t="n">
        <f aca="false">B14*B7</f>
        <v>44628571.4285714</v>
      </c>
      <c r="C15" s="3" t="s">
        <v>68</v>
      </c>
      <c r="D15" s="8" t="s">
        <v>69</v>
      </c>
    </row>
    <row r="16" customFormat="false" ht="15" hidden="false" customHeight="false" outlineLevel="0" collapsed="false">
      <c r="A16" s="3" t="s">
        <v>70</v>
      </c>
      <c r="B16" s="16" t="n">
        <v>0.2</v>
      </c>
      <c r="C16" s="3" t="s">
        <v>58</v>
      </c>
      <c r="D16" s="8" t="s">
        <v>71</v>
      </c>
    </row>
    <row r="17" customFormat="false" ht="15" hidden="false" customHeight="false" outlineLevel="0" collapsed="false">
      <c r="A17" s="3" t="s">
        <v>72</v>
      </c>
      <c r="B17" s="15" t="n">
        <f aca="false">B15*B16</f>
        <v>8925714.28571429</v>
      </c>
      <c r="C17" s="3" t="s">
        <v>68</v>
      </c>
      <c r="D17" s="8" t="s">
        <v>73</v>
      </c>
    </row>
    <row r="19" customFormat="false" ht="15" hidden="false" customHeight="false" outlineLevel="0" collapsed="false">
      <c r="A19" s="2" t="s">
        <v>74</v>
      </c>
    </row>
    <row r="20" customFormat="false" ht="15" hidden="false" customHeight="false" outlineLevel="0" collapsed="false">
      <c r="A20" s="3" t="s">
        <v>75</v>
      </c>
      <c r="B20" s="17" t="n">
        <v>0.05</v>
      </c>
      <c r="C20" s="3" t="s">
        <v>76</v>
      </c>
      <c r="D20" s="8" t="s">
        <v>77</v>
      </c>
    </row>
    <row r="21" customFormat="false" ht="15" hidden="false" customHeight="false" outlineLevel="0" collapsed="false">
      <c r="A21" s="3" t="s">
        <v>78</v>
      </c>
      <c r="B21" s="17" t="n">
        <v>0.05</v>
      </c>
      <c r="C21" s="3" t="s">
        <v>76</v>
      </c>
      <c r="D21" s="8" t="s">
        <v>79</v>
      </c>
    </row>
    <row r="22" customFormat="false" ht="15" hidden="false" customHeight="false" outlineLevel="0" collapsed="false">
      <c r="A22" s="3" t="s">
        <v>80</v>
      </c>
      <c r="B22" s="15" t="n">
        <f aca="false">B15/(1-B20-B21)</f>
        <v>49587301.5873016</v>
      </c>
      <c r="C22" s="3" t="s">
        <v>68</v>
      </c>
      <c r="D22" s="8" t="s">
        <v>81</v>
      </c>
    </row>
    <row r="23" customFormat="false" ht="15" hidden="false" customHeight="false" outlineLevel="0" collapsed="false">
      <c r="A23" s="3" t="s">
        <v>82</v>
      </c>
      <c r="B23" s="15" t="n">
        <f aca="false">B22-B15</f>
        <v>4958730.15873016</v>
      </c>
      <c r="C23" s="3" t="s">
        <v>68</v>
      </c>
      <c r="D23" s="8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8" t="s">
        <v>85</v>
      </c>
    </row>
    <row r="4" customFormat="false" ht="15" hidden="false" customHeight="false" outlineLevel="0" collapsed="false">
      <c r="A4" s="9" t="s">
        <v>86</v>
      </c>
      <c r="B4" s="9" t="s">
        <v>87</v>
      </c>
      <c r="C4" s="9" t="s">
        <v>88</v>
      </c>
      <c r="D4" s="9" t="s">
        <v>89</v>
      </c>
      <c r="E4" s="9" t="s">
        <v>90</v>
      </c>
    </row>
    <row r="5" customFormat="false" ht="15" hidden="false" customHeight="false" outlineLevel="0" collapsed="false">
      <c r="A5" s="3" t="s">
        <v>91</v>
      </c>
      <c r="B5" s="17" t="n">
        <v>0.14</v>
      </c>
      <c r="C5" s="3" t="s">
        <v>92</v>
      </c>
      <c r="D5" s="18" t="n">
        <f aca="false">B5*Inputs!$B$22</f>
        <v>6942222.22222222</v>
      </c>
      <c r="E5" s="19" t="n">
        <v>6942222</v>
      </c>
    </row>
    <row r="6" customFormat="false" ht="15" hidden="false" customHeight="false" outlineLevel="0" collapsed="false">
      <c r="A6" s="3" t="s">
        <v>93</v>
      </c>
      <c r="B6" s="16" t="n">
        <v>0.3</v>
      </c>
      <c r="C6" s="3" t="s">
        <v>94</v>
      </c>
      <c r="D6" s="18" t="n">
        <f aca="false">B6*Inputs!$B$22</f>
        <v>14876190.4761905</v>
      </c>
      <c r="E6" s="19" t="n">
        <v>14876190</v>
      </c>
    </row>
    <row r="7" customFormat="false" ht="15" hidden="false" customHeight="false" outlineLevel="0" collapsed="false">
      <c r="A7" s="3" t="s">
        <v>95</v>
      </c>
      <c r="B7" s="16" t="n">
        <v>0.2</v>
      </c>
      <c r="C7" s="3" t="s">
        <v>96</v>
      </c>
      <c r="D7" s="18" t="n">
        <f aca="false">B7*Inputs!$B$22</f>
        <v>9917460.31746032</v>
      </c>
      <c r="E7" s="19" t="n">
        <v>9917460</v>
      </c>
    </row>
    <row r="8" customFormat="false" ht="15" hidden="false" customHeight="false" outlineLevel="0" collapsed="false">
      <c r="A8" s="3" t="s">
        <v>97</v>
      </c>
      <c r="B8" s="16" t="n">
        <v>0.23</v>
      </c>
      <c r="C8" s="3"/>
      <c r="D8" s="18" t="n">
        <f aca="false">B8*Inputs!$B$22</f>
        <v>11405079.3650794</v>
      </c>
      <c r="E8" s="19" t="n">
        <v>11404080</v>
      </c>
      <c r="F8" s="8" t="s">
        <v>98</v>
      </c>
    </row>
    <row r="9" customFormat="false" ht="15" hidden="false" customHeight="false" outlineLevel="0" collapsed="false">
      <c r="A9" s="3" t="s">
        <v>99</v>
      </c>
      <c r="B9" s="16" t="n">
        <v>0.13</v>
      </c>
      <c r="C9" s="3" t="s">
        <v>100</v>
      </c>
      <c r="D9" s="18" t="n">
        <f aca="false">B9*Inputs!$B$22</f>
        <v>6446349.20634921</v>
      </c>
      <c r="E9" s="19" t="n">
        <v>6446349</v>
      </c>
    </row>
    <row r="10" customFormat="false" ht="15" hidden="false" customHeight="false" outlineLevel="0" collapsed="false">
      <c r="A10" s="2" t="s">
        <v>101</v>
      </c>
      <c r="B10" s="20" t="n">
        <f aca="false">SUM(B5:B9)</f>
        <v>1</v>
      </c>
      <c r="D10" s="21" t="n">
        <f aca="false">SUM(D5:D9)</f>
        <v>49587301.5873016</v>
      </c>
      <c r="E10" s="19" t="n">
        <v>49587302</v>
      </c>
    </row>
    <row r="12" customFormat="false" ht="15" hidden="false" customHeight="false" outlineLevel="0" collapsed="false">
      <c r="A12" s="9" t="s">
        <v>102</v>
      </c>
      <c r="B12" s="9" t="s">
        <v>103</v>
      </c>
      <c r="C12" s="9" t="s">
        <v>104</v>
      </c>
      <c r="D12" s="9" t="s">
        <v>105</v>
      </c>
      <c r="E12" s="9" t="s">
        <v>90</v>
      </c>
    </row>
    <row r="13" customFormat="false" ht="15" hidden="false" customHeight="false" outlineLevel="0" collapsed="false">
      <c r="A13" s="3" t="s">
        <v>106</v>
      </c>
      <c r="B13" s="16" t="n">
        <v>0.04</v>
      </c>
      <c r="C13" s="3" t="s">
        <v>107</v>
      </c>
      <c r="D13" s="18" t="n">
        <f aca="false">B13*Inputs!$B$22</f>
        <v>1983492.06349206</v>
      </c>
      <c r="E13" s="19" t="n">
        <v>1983492</v>
      </c>
    </row>
    <row r="14" customFormat="false" ht="15" hidden="false" customHeight="false" outlineLevel="0" collapsed="false">
      <c r="A14" s="3" t="s">
        <v>108</v>
      </c>
      <c r="B14" s="16" t="n">
        <v>0.03</v>
      </c>
      <c r="C14" s="3" t="s">
        <v>109</v>
      </c>
      <c r="D14" s="18" t="n">
        <f aca="false">B14*Inputs!$B$22</f>
        <v>1487619.04761905</v>
      </c>
      <c r="E14" s="19" t="n">
        <v>1487619</v>
      </c>
    </row>
    <row r="15" customFormat="false" ht="15" hidden="false" customHeight="false" outlineLevel="0" collapsed="false">
      <c r="A15" s="3" t="s">
        <v>110</v>
      </c>
      <c r="B15" s="16" t="n">
        <v>0.06</v>
      </c>
      <c r="C15" s="3" t="s">
        <v>111</v>
      </c>
      <c r="D15" s="18" t="n">
        <f aca="false">B15*Inputs!$B$22</f>
        <v>2975238.0952381</v>
      </c>
      <c r="E15" s="19" t="n">
        <v>2976238</v>
      </c>
    </row>
    <row r="16" customFormat="false" ht="15" hidden="false" customHeight="false" outlineLevel="0" collapsed="false">
      <c r="A16" s="2" t="s">
        <v>112</v>
      </c>
      <c r="B16" s="20" t="n">
        <f aca="false">SUM(B13:B15)</f>
        <v>0.13</v>
      </c>
      <c r="D16" s="21" t="n">
        <f aca="false">SUM(D13:D15)</f>
        <v>6446349.20634921</v>
      </c>
      <c r="F16" s="22" t="n">
        <f aca="false">B16-B9</f>
        <v>0</v>
      </c>
      <c r="G16" s="8" t="s">
        <v>113</v>
      </c>
    </row>
    <row r="18" customFormat="false" ht="15" hidden="false" customHeight="false" outlineLevel="0" collapsed="false">
      <c r="A18" s="9" t="s">
        <v>114</v>
      </c>
      <c r="B18" s="9" t="s">
        <v>88</v>
      </c>
      <c r="C18" s="9" t="s">
        <v>115</v>
      </c>
      <c r="D18" s="9" t="s">
        <v>105</v>
      </c>
      <c r="E18" s="9" t="s">
        <v>90</v>
      </c>
    </row>
    <row r="19" customFormat="false" ht="15" hidden="false" customHeight="false" outlineLevel="0" collapsed="false">
      <c r="A19" s="3" t="n">
        <v>1</v>
      </c>
      <c r="B19" s="3" t="s">
        <v>116</v>
      </c>
      <c r="C19" s="8" t="s">
        <v>117</v>
      </c>
      <c r="D19" s="15" t="n">
        <f aca="false">D6+D7+D13</f>
        <v>26777142.8571429</v>
      </c>
      <c r="E19" s="19" t="n">
        <v>26777142</v>
      </c>
    </row>
    <row r="20" customFormat="false" ht="15" hidden="false" customHeight="false" outlineLevel="0" collapsed="false">
      <c r="A20" s="3" t="n">
        <v>2</v>
      </c>
      <c r="B20" s="3" t="s">
        <v>118</v>
      </c>
      <c r="C20" s="8" t="s">
        <v>119</v>
      </c>
      <c r="D20" s="15" t="n">
        <f aca="false">D19</f>
        <v>26777142.8571429</v>
      </c>
      <c r="E20" s="19" t="n">
        <v>26777142</v>
      </c>
    </row>
    <row r="21" customFormat="false" ht="15" hidden="false" customHeight="false" outlineLevel="0" collapsed="false">
      <c r="A21" s="3" t="n">
        <v>3</v>
      </c>
      <c r="B21" s="3" t="s">
        <v>120</v>
      </c>
      <c r="C21" s="8" t="s">
        <v>121</v>
      </c>
      <c r="D21" s="15" t="n">
        <f aca="false">D5+D14+D8</f>
        <v>19834920.6349206</v>
      </c>
      <c r="E21" s="19" t="n">
        <v>19833921</v>
      </c>
    </row>
    <row r="22" customFormat="false" ht="15" hidden="false" customHeight="false" outlineLevel="0" collapsed="false">
      <c r="A22" s="3" t="n">
        <v>4</v>
      </c>
      <c r="B22" s="3" t="s">
        <v>122</v>
      </c>
      <c r="C22" s="8" t="s">
        <v>123</v>
      </c>
      <c r="D22" s="15" t="n">
        <f aca="false">D20+D21</f>
        <v>46612063.4920635</v>
      </c>
      <c r="E22" s="19" t="n">
        <v>46611064</v>
      </c>
    </row>
    <row r="23" customFormat="false" ht="15" hidden="false" customHeight="false" outlineLevel="0" collapsed="false">
      <c r="A23" s="3" t="n">
        <v>5</v>
      </c>
      <c r="B23" s="3" t="s">
        <v>124</v>
      </c>
      <c r="C23" s="8" t="s">
        <v>125</v>
      </c>
      <c r="D23" s="18" t="n">
        <f aca="false">Inputs!B22*Inputs!B20</f>
        <v>2479365.07936508</v>
      </c>
      <c r="E23" s="19" t="n">
        <v>2479365</v>
      </c>
    </row>
    <row r="24" customFormat="false" ht="15" hidden="false" customHeight="false" outlineLevel="0" collapsed="false">
      <c r="A24" s="3" t="n">
        <v>6</v>
      </c>
      <c r="B24" s="3" t="s">
        <v>126</v>
      </c>
      <c r="C24" s="8" t="s">
        <v>127</v>
      </c>
      <c r="D24" s="15" t="n">
        <f aca="false">D22-D23</f>
        <v>44132698.4126984</v>
      </c>
      <c r="E24" s="19" t="n">
        <v>44131699</v>
      </c>
    </row>
    <row r="25" customFormat="false" ht="15" hidden="false" customHeight="false" outlineLevel="0" collapsed="false">
      <c r="A25" s="3" t="n">
        <v>7</v>
      </c>
      <c r="B25" s="3" t="s">
        <v>128</v>
      </c>
      <c r="C25" s="8" t="s">
        <v>129</v>
      </c>
      <c r="D25" s="15" t="n">
        <f aca="false">D15</f>
        <v>2975238.0952381</v>
      </c>
      <c r="E25" s="19" t="n">
        <v>2976238</v>
      </c>
    </row>
    <row r="26" customFormat="false" ht="15" hidden="false" customHeight="false" outlineLevel="0" collapsed="false">
      <c r="A26" s="3" t="n">
        <v>8</v>
      </c>
      <c r="B26" s="3" t="s">
        <v>130</v>
      </c>
      <c r="C26" s="8" t="s">
        <v>131</v>
      </c>
      <c r="D26" s="15" t="n">
        <f aca="false">D24+D25</f>
        <v>47107936.5079365</v>
      </c>
      <c r="E26" s="19" t="n">
        <v>47107937</v>
      </c>
    </row>
    <row r="27" customFormat="false" ht="15" hidden="false" customHeight="false" outlineLevel="0" collapsed="false">
      <c r="A27" s="3" t="n">
        <v>9</v>
      </c>
      <c r="B27" s="3" t="s">
        <v>132</v>
      </c>
      <c r="C27" s="8" t="s">
        <v>133</v>
      </c>
      <c r="D27" s="18" t="n">
        <f aca="false">Inputs!B22*Inputs!B21</f>
        <v>2479365.07936508</v>
      </c>
      <c r="E27" s="19" t="n">
        <v>2479365</v>
      </c>
    </row>
    <row r="28" customFormat="false" ht="15" hidden="false" customHeight="false" outlineLevel="0" collapsed="false">
      <c r="A28" s="3" t="n">
        <v>10</v>
      </c>
      <c r="B28" s="3" t="s">
        <v>134</v>
      </c>
      <c r="C28" s="8" t="s">
        <v>135</v>
      </c>
      <c r="D28" s="15" t="n">
        <f aca="false">D26-D27</f>
        <v>44628571.4285714</v>
      </c>
      <c r="E28" s="19" t="n">
        <v>44628572</v>
      </c>
    </row>
    <row r="30" customFormat="false" ht="15" hidden="false" customHeight="false" outlineLevel="0" collapsed="false">
      <c r="A30" s="9" t="s">
        <v>136</v>
      </c>
      <c r="B30" s="9" t="s">
        <v>137</v>
      </c>
      <c r="C30" s="9"/>
      <c r="D30" s="9" t="s">
        <v>138</v>
      </c>
      <c r="E30" s="9" t="s">
        <v>139</v>
      </c>
    </row>
    <row r="31" customFormat="false" ht="15" hidden="false" customHeight="false" outlineLevel="0" collapsed="false">
      <c r="A31" s="3" t="s">
        <v>136</v>
      </c>
      <c r="B31" s="3" t="s">
        <v>140</v>
      </c>
      <c r="D31" s="23" t="n">
        <f aca="false">D19-D20</f>
        <v>0</v>
      </c>
      <c r="E31" s="8" t="n">
        <v>0</v>
      </c>
    </row>
    <row r="32" customFormat="false" ht="15" hidden="false" customHeight="false" outlineLevel="0" collapsed="false">
      <c r="A32" s="3" t="s">
        <v>136</v>
      </c>
      <c r="B32" s="3" t="s">
        <v>141</v>
      </c>
      <c r="D32" s="23" t="n">
        <f aca="false">D20+D21-D22</f>
        <v>0</v>
      </c>
      <c r="E32" s="8" t="n">
        <v>-1</v>
      </c>
    </row>
    <row r="33" customFormat="false" ht="15" hidden="false" customHeight="false" outlineLevel="0" collapsed="false">
      <c r="A33" s="3" t="s">
        <v>136</v>
      </c>
      <c r="B33" s="3" t="s">
        <v>142</v>
      </c>
      <c r="D33" s="23" t="n">
        <f aca="false">D22-D23-D24</f>
        <v>0</v>
      </c>
      <c r="E33" s="8" t="n">
        <v>0</v>
      </c>
    </row>
    <row r="34" customFormat="false" ht="15" hidden="false" customHeight="false" outlineLevel="0" collapsed="false">
      <c r="A34" s="3" t="s">
        <v>136</v>
      </c>
      <c r="B34" s="3" t="s">
        <v>143</v>
      </c>
      <c r="D34" s="23" t="n">
        <f aca="false">D24+D25-D26</f>
        <v>0</v>
      </c>
      <c r="E34" s="8" t="n">
        <v>0</v>
      </c>
    </row>
    <row r="35" customFormat="false" ht="15" hidden="false" customHeight="false" outlineLevel="0" collapsed="false">
      <c r="A35" s="3" t="s">
        <v>136</v>
      </c>
      <c r="B35" s="3" t="s">
        <v>144</v>
      </c>
      <c r="D35" s="23" t="n">
        <f aca="false">D26-D27-D28</f>
        <v>0</v>
      </c>
      <c r="E35" s="8" t="n">
        <v>0</v>
      </c>
    </row>
    <row r="36" customFormat="false" ht="15" hidden="false" customHeight="false" outlineLevel="0" collapsed="false">
      <c r="A36" s="3" t="s">
        <v>136</v>
      </c>
      <c r="B36" s="3" t="s">
        <v>145</v>
      </c>
      <c r="D36" s="23" t="n">
        <f aca="false">D28-Inputs!B15</f>
        <v>0</v>
      </c>
    </row>
    <row r="37" customFormat="false" ht="15" hidden="false" customHeight="false" outlineLevel="0" collapsed="false">
      <c r="A37" s="3" t="s">
        <v>136</v>
      </c>
      <c r="B37" s="3" t="s">
        <v>146</v>
      </c>
      <c r="D37" s="23" t="n">
        <f aca="false">D10-D28-D23-D27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8" t="s">
        <v>148</v>
      </c>
    </row>
    <row r="3" customFormat="false" ht="15" hidden="false" customHeight="false" outlineLevel="0" collapsed="false">
      <c r="A3" s="9" t="s">
        <v>37</v>
      </c>
      <c r="B3" s="9" t="s">
        <v>38</v>
      </c>
      <c r="C3" s="9" t="s">
        <v>39</v>
      </c>
      <c r="D3" s="9" t="s">
        <v>40</v>
      </c>
    </row>
    <row r="4" customFormat="false" ht="15" hidden="false" customHeight="false" outlineLevel="0" collapsed="false">
      <c r="A4" s="3" t="s">
        <v>149</v>
      </c>
      <c r="B4" s="24" t="n">
        <f aca="false">Inputs!B13</f>
        <v>7.81</v>
      </c>
      <c r="C4" s="3" t="s">
        <v>62</v>
      </c>
      <c r="D4" s="8"/>
    </row>
    <row r="5" customFormat="false" ht="15" hidden="false" customHeight="false" outlineLevel="0" collapsed="false">
      <c r="A5" s="3" t="s">
        <v>150</v>
      </c>
      <c r="B5" s="25" t="n">
        <v>58.72</v>
      </c>
      <c r="C5" s="3" t="s">
        <v>151</v>
      </c>
      <c r="D5" s="8" t="s">
        <v>152</v>
      </c>
    </row>
    <row r="6" customFormat="false" ht="15" hidden="false" customHeight="false" outlineLevel="0" collapsed="false">
      <c r="A6" s="2" t="s">
        <v>153</v>
      </c>
      <c r="B6" s="26" t="n">
        <f aca="false">B4*B5</f>
        <v>458.6032</v>
      </c>
      <c r="C6" s="3" t="s">
        <v>154</v>
      </c>
      <c r="D6" s="8" t="s">
        <v>155</v>
      </c>
    </row>
    <row r="8" customFormat="false" ht="15" hidden="false" customHeight="false" outlineLevel="0" collapsed="false">
      <c r="A8" s="2" t="s">
        <v>156</v>
      </c>
    </row>
    <row r="9" customFormat="false" ht="15" hidden="false" customHeight="false" outlineLevel="0" collapsed="false">
      <c r="A9" s="9" t="s">
        <v>157</v>
      </c>
      <c r="B9" s="9" t="s">
        <v>158</v>
      </c>
    </row>
    <row r="10" customFormat="false" ht="15" hidden="false" customHeight="false" outlineLevel="0" collapsed="false">
      <c r="A10" s="12" t="n">
        <v>1</v>
      </c>
      <c r="B10" s="12" t="n">
        <v>90</v>
      </c>
      <c r="D10" s="3" t="s">
        <v>159</v>
      </c>
    </row>
    <row r="11" customFormat="false" ht="15" hidden="false" customHeight="false" outlineLevel="0" collapsed="false">
      <c r="A11" s="12" t="n">
        <v>10</v>
      </c>
      <c r="B11" s="12" t="n">
        <v>53</v>
      </c>
    </row>
    <row r="12" customFormat="false" ht="15" hidden="false" customHeight="false" outlineLevel="0" collapsed="false">
      <c r="A12" s="12" t="n">
        <v>35</v>
      </c>
      <c r="B12" s="12" t="n">
        <v>38</v>
      </c>
    </row>
    <row r="14" customFormat="false" ht="15" hidden="false" customHeight="false" outlineLevel="0" collapsed="false">
      <c r="A14" s="2" t="s">
        <v>160</v>
      </c>
    </row>
    <row r="15" customFormat="false" ht="15" hidden="false" customHeight="false" outlineLevel="0" collapsed="false">
      <c r="A15" s="3" t="s">
        <v>161</v>
      </c>
      <c r="B15" s="14" t="n">
        <f aca="false">B5*50</f>
        <v>2936</v>
      </c>
      <c r="C15" s="3" t="s">
        <v>154</v>
      </c>
      <c r="D15" s="8"/>
    </row>
    <row r="16" customFormat="false" ht="15" hidden="false" customHeight="false" outlineLevel="0" collapsed="false">
      <c r="A16" s="3" t="s">
        <v>162</v>
      </c>
      <c r="B16" s="27" t="n">
        <v>3433</v>
      </c>
      <c r="C16" s="3" t="s">
        <v>154</v>
      </c>
      <c r="D16" s="8" t="s">
        <v>163</v>
      </c>
    </row>
    <row r="17" customFormat="false" ht="15" hidden="false" customHeight="false" outlineLevel="0" collapsed="false">
      <c r="A17" s="3" t="s">
        <v>164</v>
      </c>
      <c r="B17" s="28" t="n">
        <f aca="false">B15/B16</f>
        <v>0.855228662976988</v>
      </c>
      <c r="C17" s="3"/>
      <c r="D17" s="8"/>
    </row>
    <row r="19" customFormat="false" ht="15" hidden="false" customHeight="false" outlineLevel="0" collapsed="false">
      <c r="A19" s="9" t="s">
        <v>165</v>
      </c>
      <c r="B19" s="9" t="s">
        <v>166</v>
      </c>
      <c r="C19" s="9" t="s">
        <v>154</v>
      </c>
      <c r="D19" s="9" t="s">
        <v>167</v>
      </c>
    </row>
    <row r="20" customFormat="false" ht="15" hidden="false" customHeight="false" outlineLevel="0" collapsed="false">
      <c r="A20" s="3" t="s">
        <v>168</v>
      </c>
      <c r="B20" s="16" t="n">
        <v>0.7</v>
      </c>
      <c r="C20" s="14" t="n">
        <f aca="false">B20*$B$6</f>
        <v>321.02224</v>
      </c>
      <c r="D20" s="29" t="n">
        <v>321</v>
      </c>
    </row>
    <row r="21" customFormat="false" ht="15" hidden="false" customHeight="false" outlineLevel="0" collapsed="false">
      <c r="A21" s="3" t="s">
        <v>169</v>
      </c>
      <c r="B21" s="16" t="n">
        <v>0.12</v>
      </c>
      <c r="C21" s="14" t="n">
        <f aca="false">B21*$B$6</f>
        <v>55.032384</v>
      </c>
      <c r="D21" s="29" t="n">
        <v>55</v>
      </c>
    </row>
    <row r="22" customFormat="false" ht="15" hidden="false" customHeight="false" outlineLevel="0" collapsed="false">
      <c r="A22" s="3" t="s">
        <v>170</v>
      </c>
      <c r="B22" s="16" t="n">
        <v>0.07</v>
      </c>
      <c r="C22" s="14" t="n">
        <f aca="false">B22*$B$6</f>
        <v>32.102224</v>
      </c>
      <c r="D22" s="29" t="n">
        <v>32.1</v>
      </c>
    </row>
    <row r="23" customFormat="false" ht="15" hidden="false" customHeight="false" outlineLevel="0" collapsed="false">
      <c r="A23" s="3" t="s">
        <v>171</v>
      </c>
      <c r="B23" s="16" t="n">
        <v>0.03</v>
      </c>
      <c r="C23" s="14" t="n">
        <f aca="false">B23*$B$6</f>
        <v>13.758096</v>
      </c>
      <c r="D23" s="29" t="n">
        <v>13.8</v>
      </c>
    </row>
    <row r="24" customFormat="false" ht="15" hidden="false" customHeight="false" outlineLevel="0" collapsed="false">
      <c r="A24" s="3" t="s">
        <v>172</v>
      </c>
      <c r="B24" s="16" t="n">
        <v>0.03</v>
      </c>
      <c r="C24" s="14" t="n">
        <f aca="false">B24*$B$6</f>
        <v>13.758096</v>
      </c>
      <c r="D24" s="29" t="n">
        <v>13.8</v>
      </c>
    </row>
    <row r="25" customFormat="false" ht="15" hidden="false" customHeight="false" outlineLevel="0" collapsed="false">
      <c r="A25" s="3" t="s">
        <v>173</v>
      </c>
      <c r="B25" s="16" t="n">
        <v>0.05</v>
      </c>
      <c r="C25" s="14" t="n">
        <f aca="false">B25*$B$6</f>
        <v>22.93016</v>
      </c>
      <c r="D25" s="29" t="n">
        <v>22.9</v>
      </c>
    </row>
    <row r="26" customFormat="false" ht="15" hidden="false" customHeight="false" outlineLevel="0" collapsed="false">
      <c r="A26" s="2" t="s">
        <v>101</v>
      </c>
      <c r="B26" s="20" t="n">
        <f aca="false">SUM(B20:B25)</f>
        <v>1</v>
      </c>
      <c r="C26" s="26" t="n">
        <f aca="false">SUM(C20:C25)</f>
        <v>458.6032</v>
      </c>
      <c r="D26" s="29" t="n">
        <v>458.6</v>
      </c>
    </row>
    <row r="28" customFormat="false" ht="15" hidden="false" customHeight="false" outlineLevel="0" collapsed="false">
      <c r="A28" s="9" t="s">
        <v>174</v>
      </c>
      <c r="B28" s="9" t="s">
        <v>175</v>
      </c>
      <c r="C28" s="9" t="s">
        <v>154</v>
      </c>
      <c r="D28" s="9" t="s">
        <v>167</v>
      </c>
    </row>
    <row r="29" customFormat="false" ht="15" hidden="false" customHeight="false" outlineLevel="0" collapsed="false">
      <c r="A29" s="3" t="s">
        <v>176</v>
      </c>
      <c r="B29" s="16" t="n">
        <v>0.35</v>
      </c>
      <c r="C29" s="14" t="n">
        <f aca="false">B29*$C$20</f>
        <v>112.357784</v>
      </c>
      <c r="D29" s="29" t="n">
        <v>112.4</v>
      </c>
    </row>
    <row r="30" customFormat="false" ht="15" hidden="false" customHeight="false" outlineLevel="0" collapsed="false">
      <c r="A30" s="3" t="s">
        <v>109</v>
      </c>
      <c r="B30" s="16" t="n">
        <v>0.25</v>
      </c>
      <c r="C30" s="14" t="n">
        <f aca="false">B30*$C$20</f>
        <v>80.25556</v>
      </c>
      <c r="D30" s="29" t="n">
        <v>80.3</v>
      </c>
    </row>
    <row r="31" customFormat="false" ht="15" hidden="false" customHeight="false" outlineLevel="0" collapsed="false">
      <c r="A31" s="3" t="s">
        <v>177</v>
      </c>
      <c r="B31" s="16" t="n">
        <v>0.15</v>
      </c>
      <c r="C31" s="14" t="n">
        <f aca="false">B31*$C$20</f>
        <v>48.153336</v>
      </c>
      <c r="D31" s="29" t="n">
        <v>48.2</v>
      </c>
    </row>
    <row r="32" customFormat="false" ht="15" hidden="false" customHeight="false" outlineLevel="0" collapsed="false">
      <c r="A32" s="3" t="s">
        <v>178</v>
      </c>
      <c r="B32" s="16" t="n">
        <v>0.1</v>
      </c>
      <c r="C32" s="14" t="n">
        <f aca="false">B32*$C$20</f>
        <v>32.102224</v>
      </c>
      <c r="D32" s="29" t="n">
        <v>32.1</v>
      </c>
    </row>
    <row r="33" customFormat="false" ht="15" hidden="false" customHeight="false" outlineLevel="0" collapsed="false">
      <c r="A33" s="3" t="s">
        <v>179</v>
      </c>
      <c r="B33" s="16" t="n">
        <v>0.1</v>
      </c>
      <c r="C33" s="14" t="n">
        <f aca="false">B33*$C$20</f>
        <v>32.102224</v>
      </c>
      <c r="D33" s="29" t="n">
        <v>32.1</v>
      </c>
    </row>
    <row r="34" customFormat="false" ht="15" hidden="false" customHeight="false" outlineLevel="0" collapsed="false">
      <c r="A34" s="3" t="s">
        <v>180</v>
      </c>
      <c r="B34" s="17" t="n">
        <v>0.05</v>
      </c>
      <c r="C34" s="14" t="n">
        <f aca="false">B34*$C$20</f>
        <v>16.051112</v>
      </c>
      <c r="D34" s="29" t="n">
        <v>16.1</v>
      </c>
      <c r="E34" s="8" t="s">
        <v>181</v>
      </c>
    </row>
    <row r="35" customFormat="false" ht="15" hidden="false" customHeight="false" outlineLevel="0" collapsed="false">
      <c r="A35" s="2" t="s">
        <v>101</v>
      </c>
      <c r="B35" s="20" t="n">
        <f aca="false">SUM(B29:B34)</f>
        <v>1</v>
      </c>
      <c r="C35" s="26" t="n">
        <f aca="false">SUM(C29:C34)</f>
        <v>321.02224</v>
      </c>
      <c r="D35" s="29" t="n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8" t="s">
        <v>183</v>
      </c>
    </row>
    <row r="3" customFormat="false" ht="15" hidden="false" customHeight="false" outlineLevel="0" collapsed="false">
      <c r="A3" s="9" t="s">
        <v>37</v>
      </c>
      <c r="B3" s="9" t="s">
        <v>38</v>
      </c>
      <c r="C3" s="9" t="s">
        <v>39</v>
      </c>
      <c r="D3" s="9" t="s">
        <v>184</v>
      </c>
    </row>
    <row r="4" customFormat="false" ht="15" hidden="false" customHeight="false" outlineLevel="0" collapsed="false">
      <c r="A4" s="3" t="s">
        <v>185</v>
      </c>
      <c r="B4" s="18" t="n">
        <f aca="false">Inputs!B22</f>
        <v>49587301.5873016</v>
      </c>
      <c r="C4" s="3" t="s">
        <v>68</v>
      </c>
      <c r="D4" s="8"/>
    </row>
    <row r="5" customFormat="false" ht="15" hidden="false" customHeight="false" outlineLevel="0" collapsed="false">
      <c r="A5" s="3" t="s">
        <v>186</v>
      </c>
      <c r="B5" s="30" t="n">
        <v>1.2</v>
      </c>
      <c r="C5" s="3" t="s">
        <v>187</v>
      </c>
      <c r="D5" s="8" t="s">
        <v>188</v>
      </c>
    </row>
    <row r="6" customFormat="false" ht="15" hidden="false" customHeight="false" outlineLevel="0" collapsed="false">
      <c r="A6" s="3" t="s">
        <v>189</v>
      </c>
      <c r="B6" s="17" t="n">
        <v>0.77</v>
      </c>
      <c r="C6" s="3" t="s">
        <v>58</v>
      </c>
      <c r="D6" s="8" t="s">
        <v>190</v>
      </c>
    </row>
    <row r="8" customFormat="false" ht="15" hidden="false" customHeight="false" outlineLevel="0" collapsed="false">
      <c r="A8" s="9" t="s">
        <v>86</v>
      </c>
      <c r="B8" s="9" t="s">
        <v>191</v>
      </c>
      <c r="C8" s="9" t="s">
        <v>105</v>
      </c>
      <c r="D8" s="9" t="s">
        <v>192</v>
      </c>
      <c r="E8" s="9" t="s">
        <v>39</v>
      </c>
      <c r="F8" s="9" t="s">
        <v>193</v>
      </c>
      <c r="G8" s="9" t="s">
        <v>194</v>
      </c>
      <c r="H8" s="9" t="s">
        <v>195</v>
      </c>
    </row>
    <row r="9" customFormat="false" ht="15" hidden="false" customHeight="false" outlineLevel="0" collapsed="false">
      <c r="A9" s="3" t="s">
        <v>91</v>
      </c>
      <c r="B9" s="16" t="n">
        <v>0.14</v>
      </c>
      <c r="C9" s="15" t="n">
        <f aca="false">B9*$B$4</f>
        <v>6942222.22222222</v>
      </c>
      <c r="D9" s="30" t="n">
        <v>14</v>
      </c>
      <c r="E9" s="3" t="s">
        <v>196</v>
      </c>
      <c r="F9" s="31" t="n">
        <f aca="false">C9/$B$5*D9</f>
        <v>80992592.5925926</v>
      </c>
      <c r="G9" s="32" t="n">
        <v>80992590</v>
      </c>
      <c r="H9" s="8" t="s">
        <v>197</v>
      </c>
    </row>
    <row r="10" customFormat="false" ht="15" hidden="false" customHeight="false" outlineLevel="0" collapsed="false">
      <c r="A10" s="3" t="s">
        <v>198</v>
      </c>
      <c r="B10" s="16" t="n">
        <v>0.3</v>
      </c>
      <c r="C10" s="15" t="n">
        <f aca="false">B10*$B$4</f>
        <v>14876190.4761905</v>
      </c>
      <c r="D10" s="33" t="n">
        <v>22</v>
      </c>
      <c r="E10" s="3" t="s">
        <v>199</v>
      </c>
      <c r="F10" s="31" t="n">
        <f aca="false">C10*D10</f>
        <v>327276190.47619</v>
      </c>
      <c r="G10" s="32" t="n">
        <v>327276202</v>
      </c>
      <c r="H10" s="8" t="s">
        <v>200</v>
      </c>
    </row>
    <row r="11" customFormat="false" ht="15" hidden="false" customHeight="false" outlineLevel="0" collapsed="false">
      <c r="A11" s="3" t="s">
        <v>201</v>
      </c>
      <c r="B11" s="16" t="n">
        <v>0.2</v>
      </c>
      <c r="C11" s="15" t="n">
        <f aca="false">B11*$B$4</f>
        <v>9917460.31746032</v>
      </c>
      <c r="D11" s="33" t="n">
        <v>9.5</v>
      </c>
      <c r="E11" s="3" t="s">
        <v>199</v>
      </c>
      <c r="F11" s="31" t="n">
        <f aca="false">C11*D11</f>
        <v>94215873.015873</v>
      </c>
      <c r="G11" s="32" t="n">
        <v>94215870</v>
      </c>
      <c r="H11" s="8" t="s">
        <v>202</v>
      </c>
    </row>
    <row r="12" customFormat="false" ht="15" hidden="false" customHeight="false" outlineLevel="0" collapsed="false">
      <c r="A12" s="3" t="s">
        <v>203</v>
      </c>
      <c r="B12" s="16" t="n">
        <v>0.23</v>
      </c>
      <c r="C12" s="15" t="n">
        <f aca="false">B12*$B$4</f>
        <v>11405079.3650794</v>
      </c>
      <c r="D12" s="33" t="n">
        <v>4</v>
      </c>
      <c r="E12" s="3" t="s">
        <v>199</v>
      </c>
      <c r="F12" s="31" t="n">
        <f aca="false">C12*D12</f>
        <v>45620317.4603175</v>
      </c>
      <c r="G12" s="32" t="n">
        <v>45616320</v>
      </c>
      <c r="H12" s="8"/>
    </row>
    <row r="13" customFormat="false" ht="15" hidden="false" customHeight="false" outlineLevel="0" collapsed="false">
      <c r="A13" s="3" t="s">
        <v>204</v>
      </c>
      <c r="B13" s="16" t="n">
        <v>0.03</v>
      </c>
      <c r="C13" s="15" t="n">
        <f aca="false">B13*$B$4</f>
        <v>1487619.04761905</v>
      </c>
      <c r="D13" s="30" t="n">
        <v>1</v>
      </c>
      <c r="E13" s="3" t="s">
        <v>205</v>
      </c>
      <c r="F13" s="31" t="n">
        <f aca="false">C13*D13</f>
        <v>1487619.04761905</v>
      </c>
      <c r="G13" s="32" t="n">
        <v>1484619</v>
      </c>
      <c r="H13" s="8" t="s">
        <v>206</v>
      </c>
    </row>
    <row r="14" customFormat="false" ht="15" hidden="false" customHeight="false" outlineLevel="0" collapsed="false">
      <c r="A14" s="3" t="s">
        <v>207</v>
      </c>
      <c r="B14" s="16" t="n">
        <v>0.02</v>
      </c>
      <c r="C14" s="15" t="n">
        <f aca="false">B14*$B$4</f>
        <v>991746.031746032</v>
      </c>
      <c r="D14" s="33" t="n">
        <v>15</v>
      </c>
      <c r="E14" s="3" t="s">
        <v>199</v>
      </c>
      <c r="F14" s="31" t="n">
        <f aca="false">C14*D14</f>
        <v>14876190.4761905</v>
      </c>
      <c r="G14" s="32" t="n">
        <v>14850000</v>
      </c>
      <c r="H14" s="8" t="s">
        <v>208</v>
      </c>
    </row>
    <row r="15" customFormat="false" ht="15" hidden="false" customHeight="false" outlineLevel="0" collapsed="false">
      <c r="A15" s="3" t="s">
        <v>209</v>
      </c>
      <c r="B15" s="16" t="n">
        <v>0.015</v>
      </c>
      <c r="C15" s="15" t="n">
        <f aca="false">B15*$B$4</f>
        <v>743809.523809524</v>
      </c>
      <c r="D15" s="33" t="n">
        <v>10</v>
      </c>
      <c r="E15" s="3" t="s">
        <v>199</v>
      </c>
      <c r="F15" s="31" t="n">
        <f aca="false">C15*D15</f>
        <v>7438095.23809524</v>
      </c>
      <c r="G15" s="32" t="n">
        <v>7438100</v>
      </c>
      <c r="H15" s="8"/>
    </row>
    <row r="16" customFormat="false" ht="15" hidden="false" customHeight="false" outlineLevel="0" collapsed="false">
      <c r="A16" s="3" t="s">
        <v>210</v>
      </c>
      <c r="B16" s="16" t="n">
        <v>0.065</v>
      </c>
      <c r="C16" s="15" t="n">
        <f aca="false">B16*$B$4</f>
        <v>3223174.6031746</v>
      </c>
      <c r="D16" s="33" t="n">
        <v>1</v>
      </c>
      <c r="E16" s="3" t="s">
        <v>199</v>
      </c>
      <c r="F16" s="31" t="n">
        <f aca="false">C16*D16</f>
        <v>3223174.6031746</v>
      </c>
      <c r="G16" s="32" t="n">
        <v>3222349</v>
      </c>
      <c r="H16" s="8" t="s">
        <v>211</v>
      </c>
    </row>
    <row r="17" customFormat="false" ht="15" hidden="false" customHeight="false" outlineLevel="0" collapsed="false">
      <c r="A17" s="2" t="s">
        <v>212</v>
      </c>
      <c r="B17" s="20" t="n">
        <f aca="false">SUM(B9:B16)</f>
        <v>1</v>
      </c>
      <c r="C17" s="21" t="n">
        <f aca="false">SUM(C9:C16)</f>
        <v>49587301.5873016</v>
      </c>
      <c r="F17" s="34" t="n">
        <f aca="false">SUM(F9:F16)</f>
        <v>575130052.910053</v>
      </c>
      <c r="G17" s="32" t="n">
        <v>575096050</v>
      </c>
    </row>
    <row r="18" customFormat="false" ht="15" hidden="false" customHeight="false" outlineLevel="0" collapsed="false">
      <c r="A18" s="3" t="s">
        <v>213</v>
      </c>
      <c r="F18" s="28" t="n">
        <f aca="false">F9/F17</f>
        <v>0.140824831153901</v>
      </c>
    </row>
    <row r="20" customFormat="false" ht="15" hidden="false" customHeight="false" outlineLevel="0" collapsed="false">
      <c r="A20" s="9" t="s">
        <v>214</v>
      </c>
      <c r="B20" s="9" t="s">
        <v>215</v>
      </c>
      <c r="C20" s="9"/>
      <c r="D20" s="9"/>
      <c r="E20" s="9"/>
      <c r="F20" s="9"/>
      <c r="G20" s="9" t="s">
        <v>139</v>
      </c>
    </row>
    <row r="21" customFormat="false" ht="15" hidden="false" customHeight="false" outlineLevel="0" collapsed="false">
      <c r="A21" s="3" t="s">
        <v>216</v>
      </c>
      <c r="B21" s="14" t="n">
        <f aca="false">F17/1000000</f>
        <v>575.130052910053</v>
      </c>
      <c r="G21" s="29" t="n">
        <v>575.1</v>
      </c>
    </row>
    <row r="22" customFormat="false" ht="15" hidden="false" customHeight="false" outlineLevel="0" collapsed="false">
      <c r="A22" s="2" t="s">
        <v>217</v>
      </c>
      <c r="B22" s="26" t="n">
        <f aca="false">B21/B6</f>
        <v>746.922146636432</v>
      </c>
      <c r="G22" s="29" t="n">
        <v>746.85</v>
      </c>
    </row>
    <row r="23" customFormat="false" ht="15" hidden="false" customHeight="false" outlineLevel="0" collapsed="false">
      <c r="A23" s="3" t="s">
        <v>218</v>
      </c>
      <c r="B23" s="14" t="n">
        <f aca="false">B22-B21</f>
        <v>171.792093726379</v>
      </c>
    </row>
    <row r="24" customFormat="false" ht="15" hidden="false" customHeight="false" outlineLevel="0" collapsed="false">
      <c r="A24" s="3" t="s">
        <v>219</v>
      </c>
      <c r="B24" s="35" t="n">
        <f aca="false">B22*1000000/(Inputs!B13*1000000)</f>
        <v>95.6366384937814</v>
      </c>
      <c r="C24" s="3" t="s">
        <v>220</v>
      </c>
    </row>
    <row r="25" customFormat="false" ht="15" hidden="false" customHeight="false" outlineLevel="0" collapsed="false">
      <c r="A25" s="3" t="s">
        <v>221</v>
      </c>
      <c r="B25" s="36" t="n">
        <f aca="false">F9/(Inputs!B13*1000000)</f>
        <v>10.3703703703704</v>
      </c>
      <c r="C25" s="3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8" t="s">
        <v>223</v>
      </c>
    </row>
    <row r="3" customFormat="false" ht="15" hidden="false" customHeight="false" outlineLevel="0" collapsed="false">
      <c r="A3" s="9" t="s">
        <v>37</v>
      </c>
      <c r="B3" s="9" t="s">
        <v>38</v>
      </c>
      <c r="C3" s="9" t="s">
        <v>39</v>
      </c>
      <c r="D3" s="9" t="s">
        <v>139</v>
      </c>
      <c r="E3" s="9" t="s">
        <v>184</v>
      </c>
    </row>
    <row r="4" customFormat="false" ht="15" hidden="false" customHeight="false" outlineLevel="0" collapsed="false">
      <c r="A4" s="3" t="s">
        <v>23</v>
      </c>
      <c r="B4" s="24" t="n">
        <f aca="false">CapEx!B6</f>
        <v>458.6032</v>
      </c>
      <c r="C4" s="3" t="s">
        <v>154</v>
      </c>
      <c r="D4" s="29" t="n">
        <v>458.02</v>
      </c>
      <c r="E4" s="8"/>
    </row>
    <row r="5" customFormat="false" ht="15" hidden="false" customHeight="false" outlineLevel="0" collapsed="false">
      <c r="A5" s="3" t="s">
        <v>224</v>
      </c>
      <c r="B5" s="24" t="n">
        <f aca="false">OpEx!B22</f>
        <v>746.922146636432</v>
      </c>
      <c r="C5" s="3" t="s">
        <v>215</v>
      </c>
      <c r="D5" s="29" t="n">
        <v>746.85</v>
      </c>
      <c r="E5" s="8"/>
    </row>
    <row r="6" customFormat="false" ht="15" hidden="false" customHeight="false" outlineLevel="0" collapsed="false">
      <c r="A6" s="3" t="s">
        <v>225</v>
      </c>
      <c r="B6" s="37" t="n">
        <f aca="false">'ANL Reference'!C16-'ANL Reference'!C14</f>
        <v>9849</v>
      </c>
      <c r="C6" s="3" t="s">
        <v>226</v>
      </c>
      <c r="D6" s="19" t="n">
        <v>9849</v>
      </c>
      <c r="E6" s="8" t="s">
        <v>227</v>
      </c>
    </row>
    <row r="7" customFormat="false" ht="15" hidden="false" customHeight="false" outlineLevel="0" collapsed="false">
      <c r="A7" s="3" t="s">
        <v>228</v>
      </c>
      <c r="B7" s="16" t="n">
        <v>0.1</v>
      </c>
      <c r="C7" s="3" t="s">
        <v>58</v>
      </c>
      <c r="D7" s="38" t="n">
        <v>0.1</v>
      </c>
      <c r="E7" s="8"/>
    </row>
    <row r="8" customFormat="false" ht="15" hidden="false" customHeight="false" outlineLevel="0" collapsed="false">
      <c r="A8" s="3" t="s">
        <v>229</v>
      </c>
      <c r="B8" s="16" t="n">
        <v>0.07</v>
      </c>
      <c r="C8" s="3" t="s">
        <v>58</v>
      </c>
      <c r="D8" s="38" t="n">
        <v>0.07</v>
      </c>
      <c r="E8" s="8"/>
    </row>
    <row r="9" customFormat="false" ht="15" hidden="false" customHeight="false" outlineLevel="0" collapsed="false">
      <c r="A9" s="3" t="s">
        <v>230</v>
      </c>
      <c r="B9" s="39" t="n">
        <v>3</v>
      </c>
      <c r="C9" s="3" t="s">
        <v>231</v>
      </c>
      <c r="D9" s="40" t="n">
        <v>3</v>
      </c>
      <c r="E9" s="8" t="s">
        <v>232</v>
      </c>
    </row>
    <row r="10" customFormat="false" ht="15" hidden="false" customHeight="false" outlineLevel="0" collapsed="false">
      <c r="A10" s="3" t="s">
        <v>233</v>
      </c>
      <c r="B10" s="41" t="n">
        <f aca="false">(1-(1+B8)^(-B9))/B8</f>
        <v>2.6243160444164</v>
      </c>
      <c r="C10" s="3"/>
      <c r="D10" s="42" t="n">
        <v>2.62</v>
      </c>
      <c r="E10" s="8"/>
    </row>
    <row r="11" customFormat="false" ht="15" hidden="false" customHeight="false" outlineLevel="0" collapsed="false">
      <c r="A11" s="3" t="s">
        <v>234</v>
      </c>
      <c r="B11" s="14" t="n">
        <f aca="false">B4/B10</f>
        <v>174.751513246944</v>
      </c>
      <c r="C11" s="3" t="s">
        <v>215</v>
      </c>
      <c r="D11" s="29" t="n">
        <v>174.53</v>
      </c>
      <c r="E11" s="8"/>
    </row>
    <row r="12" customFormat="false" ht="15" hidden="false" customHeight="false" outlineLevel="0" collapsed="false">
      <c r="A12" s="3" t="s">
        <v>235</v>
      </c>
      <c r="B12" s="15" t="n">
        <f aca="false">B6*(1+B7)</f>
        <v>10833.9</v>
      </c>
      <c r="C12" s="3" t="s">
        <v>226</v>
      </c>
      <c r="E12" s="8"/>
    </row>
    <row r="13" customFormat="false" ht="15" hidden="false" customHeight="false" outlineLevel="0" collapsed="false">
      <c r="A13" s="3" t="s">
        <v>236</v>
      </c>
      <c r="B13" s="14" t="n">
        <f aca="false">B12*Inputs!B7/1000000</f>
        <v>1083.39</v>
      </c>
      <c r="C13" s="3" t="s">
        <v>215</v>
      </c>
      <c r="D13" s="29" t="n">
        <v>1083.39</v>
      </c>
      <c r="E13" s="8"/>
    </row>
    <row r="14" customFormat="false" ht="15" hidden="false" customHeight="false" outlineLevel="0" collapsed="false">
      <c r="A14" s="2" t="s">
        <v>237</v>
      </c>
      <c r="B14" s="26" t="n">
        <f aca="false">B13-B5-B11</f>
        <v>161.716340116624</v>
      </c>
      <c r="C14" s="3" t="s">
        <v>215</v>
      </c>
      <c r="D14" s="29" t="n">
        <v>162.01</v>
      </c>
      <c r="E14" s="8"/>
    </row>
    <row r="15" customFormat="false" ht="15" hidden="false" customHeight="false" outlineLevel="0" collapsed="false">
      <c r="A15" s="2" t="s">
        <v>238</v>
      </c>
      <c r="B15" s="26" t="n">
        <f aca="false">B13-B5</f>
        <v>336.467853363568</v>
      </c>
      <c r="C15" s="3" t="s">
        <v>215</v>
      </c>
      <c r="D15" s="29" t="n">
        <v>336.54</v>
      </c>
      <c r="E15" s="8"/>
    </row>
    <row r="17" customFormat="false" ht="15" hidden="false" customHeight="false" outlineLevel="0" collapsed="false">
      <c r="A17" s="2" t="s">
        <v>239</v>
      </c>
    </row>
    <row r="18" customFormat="false" ht="15" hidden="false" customHeight="false" outlineLevel="0" collapsed="false">
      <c r="A18" s="3" t="s">
        <v>240</v>
      </c>
      <c r="B18" s="16" t="n">
        <v>0.2</v>
      </c>
    </row>
    <row r="19" customFormat="false" ht="15" hidden="false" customHeight="false" outlineLevel="0" collapsed="false">
      <c r="A19" s="9" t="s">
        <v>37</v>
      </c>
      <c r="B19" s="9" t="s">
        <v>241</v>
      </c>
      <c r="C19" s="9" t="s">
        <v>242</v>
      </c>
      <c r="D19" s="9" t="s">
        <v>243</v>
      </c>
      <c r="E19" s="9" t="s">
        <v>244</v>
      </c>
    </row>
    <row r="20" customFormat="false" ht="15" hidden="false" customHeight="false" outlineLevel="0" collapsed="false">
      <c r="A20" s="3" t="s">
        <v>245</v>
      </c>
      <c r="B20" s="24" t="n">
        <f aca="false">OpEx!F10/1000000</f>
        <v>327.27619047619</v>
      </c>
      <c r="C20" s="43" t="n">
        <f aca="false">1*$B$18*B20</f>
        <v>65.4552380952381</v>
      </c>
      <c r="D20" s="43" t="n">
        <f aca="false">-1*$B$18*B20</f>
        <v>-65.4552380952381</v>
      </c>
      <c r="E20" s="8" t="n">
        <v>65</v>
      </c>
    </row>
    <row r="21" customFormat="false" ht="15" hidden="false" customHeight="false" outlineLevel="0" collapsed="false">
      <c r="A21" s="3" t="s">
        <v>246</v>
      </c>
      <c r="B21" s="14" t="n">
        <f aca="false">B11</f>
        <v>174.751513246944</v>
      </c>
      <c r="C21" s="43" t="n">
        <f aca="false">1*$B$18*B21</f>
        <v>34.9503026493888</v>
      </c>
      <c r="D21" s="43" t="n">
        <f aca="false">-1*$B$18*B21</f>
        <v>-34.9503026493888</v>
      </c>
      <c r="E21" s="8" t="n">
        <v>35</v>
      </c>
    </row>
    <row r="22" customFormat="false" ht="15" hidden="false" customHeight="false" outlineLevel="0" collapsed="false">
      <c r="A22" s="3" t="s">
        <v>247</v>
      </c>
      <c r="B22" s="24" t="n">
        <f aca="false">OpEx!B23</f>
        <v>171.792093726379</v>
      </c>
      <c r="C22" s="43" t="n">
        <f aca="false">1*$B$18*B22</f>
        <v>34.3584187452759</v>
      </c>
      <c r="D22" s="43" t="n">
        <f aca="false">-1*$B$18*B22</f>
        <v>-34.3584187452759</v>
      </c>
      <c r="E22" s="8" t="n">
        <v>35</v>
      </c>
    </row>
    <row r="23" customFormat="false" ht="15" hidden="false" customHeight="false" outlineLevel="0" collapsed="false">
      <c r="A23" s="3" t="s">
        <v>248</v>
      </c>
      <c r="B23" s="24" t="n">
        <f aca="false">B6*B7*Inputs!B7/1000000</f>
        <v>98.49</v>
      </c>
      <c r="C23" s="43" t="n">
        <f aca="false">-$B$18*B23</f>
        <v>-19.698</v>
      </c>
      <c r="D23" s="43" t="n">
        <f aca="false">$B$18*B23</f>
        <v>19.698</v>
      </c>
      <c r="E23" s="8" t="n">
        <v>21</v>
      </c>
    </row>
    <row r="24" customFormat="false" ht="15" hidden="false" customHeight="false" outlineLevel="0" collapsed="false">
      <c r="A24" s="3" t="s">
        <v>249</v>
      </c>
      <c r="B24" s="24" t="n">
        <f aca="false">OpEx!F11/1000000</f>
        <v>94.215873015873</v>
      </c>
      <c r="C24" s="43" t="n">
        <f aca="false">1*$B$18*B24</f>
        <v>18.8431746031746</v>
      </c>
      <c r="D24" s="43" t="n">
        <f aca="false">-1*$B$18*B24</f>
        <v>-18.8431746031746</v>
      </c>
      <c r="E24" s="8" t="n">
        <v>19</v>
      </c>
    </row>
    <row r="25" customFormat="false" ht="15" hidden="false" customHeight="false" outlineLevel="0" collapsed="false">
      <c r="A25" s="3" t="s">
        <v>250</v>
      </c>
      <c r="B25" s="24" t="n">
        <f aca="false">OpEx!F9/1000000</f>
        <v>80.9925925925926</v>
      </c>
      <c r="C25" s="43" t="n">
        <f aca="false">1*$B$18*B25</f>
        <v>16.1985185185185</v>
      </c>
      <c r="D25" s="43" t="n">
        <f aca="false">-1*$B$18*B25</f>
        <v>-16.1985185185185</v>
      </c>
      <c r="E25" s="8" t="n">
        <v>16</v>
      </c>
    </row>
    <row r="27" customFormat="false" ht="15" hidden="false" customHeight="false" outlineLevel="0" collapsed="false">
      <c r="A27" s="8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8" t="s">
        <v>253</v>
      </c>
    </row>
    <row r="3" customFormat="false" ht="15" hidden="false" customHeight="false" outlineLevel="0" collapsed="false">
      <c r="A3" s="9" t="s">
        <v>254</v>
      </c>
      <c r="B3" s="9" t="s">
        <v>255</v>
      </c>
      <c r="C3" s="9" t="s">
        <v>256</v>
      </c>
    </row>
    <row r="4" customFormat="false" ht="15" hidden="false" customHeight="false" outlineLevel="0" collapsed="false">
      <c r="A4" s="3" t="s">
        <v>257</v>
      </c>
      <c r="B4" s="11" t="n">
        <v>6739</v>
      </c>
      <c r="C4" s="11" t="n">
        <v>6084</v>
      </c>
    </row>
    <row r="5" customFormat="false" ht="15" hidden="false" customHeight="false" outlineLevel="0" collapsed="false">
      <c r="A5" s="3" t="s">
        <v>258</v>
      </c>
      <c r="B5" s="11" t="n">
        <v>1097</v>
      </c>
      <c r="C5" s="11" t="n">
        <v>1097</v>
      </c>
    </row>
    <row r="6" customFormat="false" ht="15" hidden="false" customHeight="false" outlineLevel="0" collapsed="false">
      <c r="A6" s="3" t="s">
        <v>259</v>
      </c>
      <c r="B6" s="11" t="n">
        <v>403</v>
      </c>
      <c r="C6" s="11" t="n">
        <v>403</v>
      </c>
    </row>
    <row r="7" customFormat="false" ht="15" hidden="false" customHeight="false" outlineLevel="0" collapsed="false">
      <c r="A7" s="3" t="s">
        <v>260</v>
      </c>
      <c r="B7" s="11" t="n">
        <v>158</v>
      </c>
      <c r="C7" s="11" t="n">
        <v>158</v>
      </c>
    </row>
    <row r="8" customFormat="false" ht="15" hidden="false" customHeight="false" outlineLevel="0" collapsed="false">
      <c r="A8" s="3" t="s">
        <v>261</v>
      </c>
      <c r="B8" s="11" t="n">
        <v>644</v>
      </c>
      <c r="C8" s="11" t="n">
        <v>644</v>
      </c>
    </row>
    <row r="9" customFormat="false" ht="15" hidden="false" customHeight="false" outlineLevel="0" collapsed="false">
      <c r="A9" s="3" t="s">
        <v>262</v>
      </c>
      <c r="B9" s="11" t="n">
        <v>186</v>
      </c>
      <c r="C9" s="11" t="n">
        <v>186</v>
      </c>
    </row>
    <row r="10" customFormat="false" ht="15" hidden="false" customHeight="false" outlineLevel="0" collapsed="false">
      <c r="A10" s="3" t="s">
        <v>263</v>
      </c>
      <c r="B10" s="11" t="n">
        <v>250</v>
      </c>
      <c r="C10" s="11" t="n">
        <v>250</v>
      </c>
    </row>
    <row r="11" customFormat="false" ht="15" hidden="false" customHeight="false" outlineLevel="0" collapsed="false">
      <c r="A11" s="3" t="s">
        <v>264</v>
      </c>
      <c r="B11" s="11" t="n">
        <v>175</v>
      </c>
      <c r="C11" s="11" t="n">
        <v>175</v>
      </c>
    </row>
    <row r="12" customFormat="false" ht="15" hidden="false" customHeight="false" outlineLevel="0" collapsed="false">
      <c r="A12" s="3" t="s">
        <v>265</v>
      </c>
      <c r="B12" s="11" t="n">
        <v>225</v>
      </c>
      <c r="C12" s="11" t="n">
        <v>225</v>
      </c>
    </row>
    <row r="13" customFormat="false" ht="15" hidden="false" customHeight="false" outlineLevel="0" collapsed="false">
      <c r="A13" s="3" t="s">
        <v>266</v>
      </c>
      <c r="B13" s="11" t="n">
        <v>79</v>
      </c>
      <c r="C13" s="11" t="n">
        <v>78</v>
      </c>
    </row>
    <row r="14" customFormat="false" ht="15" hidden="false" customHeight="false" outlineLevel="0" collapsed="false">
      <c r="A14" s="3" t="s">
        <v>267</v>
      </c>
      <c r="B14" s="11" t="n">
        <v>528</v>
      </c>
      <c r="C14" s="11" t="n">
        <v>522</v>
      </c>
    </row>
    <row r="15" customFormat="false" ht="15" hidden="false" customHeight="false" outlineLevel="0" collapsed="false">
      <c r="A15" s="3" t="s">
        <v>268</v>
      </c>
      <c r="B15" s="11" t="n">
        <v>587</v>
      </c>
      <c r="C15" s="11" t="n">
        <v>550</v>
      </c>
    </row>
    <row r="16" customFormat="false" ht="15" hidden="false" customHeight="false" outlineLevel="0" collapsed="false">
      <c r="A16" s="2" t="s">
        <v>269</v>
      </c>
      <c r="B16" s="11" t="n">
        <v>11071</v>
      </c>
      <c r="C16" s="11" t="n">
        <v>10371</v>
      </c>
    </row>
    <row r="17" customFormat="false" ht="15" hidden="false" customHeight="false" outlineLevel="0" collapsed="false">
      <c r="A17" s="3" t="s">
        <v>270</v>
      </c>
      <c r="B17" s="15" t="n">
        <f aca="false">SUM(B4:B15)</f>
        <v>11071</v>
      </c>
      <c r="C17" s="15" t="n">
        <f aca="false">SUM(C4:C15)</f>
        <v>10372</v>
      </c>
    </row>
    <row r="18" customFormat="false" ht="15" hidden="false" customHeight="false" outlineLevel="0" collapsed="false">
      <c r="A18" s="3" t="s">
        <v>271</v>
      </c>
      <c r="B18" s="28" t="n">
        <f aca="false">SUM(B4:B6)/B16</f>
        <v>0.744196549543853</v>
      </c>
      <c r="C18" s="28" t="n">
        <f aca="false">SUM(C4:C6)/C16</f>
        <v>0.731269887185421</v>
      </c>
      <c r="D18" s="8" t="s">
        <v>272</v>
      </c>
    </row>
    <row r="20" customFormat="false" ht="15" hidden="false" customHeight="false" outlineLevel="0" collapsed="false">
      <c r="A20" s="9" t="s">
        <v>273</v>
      </c>
      <c r="B20" s="9" t="s">
        <v>274</v>
      </c>
      <c r="C20" s="9" t="s">
        <v>275</v>
      </c>
      <c r="D20" s="9" t="s">
        <v>276</v>
      </c>
      <c r="E20" s="9" t="s">
        <v>277</v>
      </c>
      <c r="F20" s="9" t="s">
        <v>255</v>
      </c>
      <c r="G20" s="9" t="s">
        <v>256</v>
      </c>
    </row>
    <row r="21" customFormat="false" ht="15" hidden="false" customHeight="false" outlineLevel="0" collapsed="false">
      <c r="A21" s="3" t="s">
        <v>278</v>
      </c>
      <c r="B21" s="12" t="s">
        <v>279</v>
      </c>
      <c r="C21" s="12" t="s">
        <v>280</v>
      </c>
      <c r="D21" s="12" t="s">
        <v>280</v>
      </c>
      <c r="E21" s="12" t="s">
        <v>280</v>
      </c>
      <c r="F21" s="12" t="s">
        <v>280</v>
      </c>
      <c r="G21" s="12" t="s">
        <v>280</v>
      </c>
    </row>
    <row r="22" customFormat="false" ht="15" hidden="false" customHeight="false" outlineLevel="0" collapsed="false">
      <c r="A22" s="3" t="s">
        <v>281</v>
      </c>
      <c r="B22" s="44" t="n">
        <v>21</v>
      </c>
      <c r="C22" s="44" t="n">
        <v>22</v>
      </c>
      <c r="D22" s="44" t="n">
        <v>22.8</v>
      </c>
      <c r="E22" s="44" t="n">
        <v>26</v>
      </c>
      <c r="F22" s="44" t="n">
        <v>26</v>
      </c>
      <c r="G22" s="44" t="n">
        <v>22</v>
      </c>
    </row>
    <row r="23" customFormat="false" ht="15" hidden="false" customHeight="false" outlineLevel="0" collapsed="false">
      <c r="A23" s="3" t="s">
        <v>282</v>
      </c>
      <c r="B23" s="44" t="n">
        <v>14</v>
      </c>
      <c r="C23" s="44" t="n">
        <v>14</v>
      </c>
      <c r="D23" s="44" t="n">
        <v>11</v>
      </c>
      <c r="E23" s="44" t="n">
        <v>10</v>
      </c>
      <c r="F23" s="44" t="n">
        <v>10</v>
      </c>
      <c r="G23" s="44" t="n">
        <v>9.5</v>
      </c>
    </row>
    <row r="24" customFormat="false" ht="15" hidden="false" customHeight="false" outlineLevel="0" collapsed="false">
      <c r="A24" s="3" t="s">
        <v>283</v>
      </c>
      <c r="B24" s="44" t="n">
        <v>15</v>
      </c>
      <c r="C24" s="44" t="n">
        <v>15</v>
      </c>
      <c r="D24" s="44" t="n">
        <v>15</v>
      </c>
      <c r="E24" s="44" t="n">
        <v>15</v>
      </c>
      <c r="F24" s="44" t="n">
        <v>15</v>
      </c>
      <c r="G24" s="44" t="n">
        <v>14</v>
      </c>
    </row>
    <row r="25" customFormat="false" ht="15" hidden="false" customHeight="false" outlineLevel="0" collapsed="false">
      <c r="A25" s="3" t="s">
        <v>284</v>
      </c>
      <c r="B25" s="44" t="n">
        <v>1.1</v>
      </c>
      <c r="C25" s="44" t="n">
        <v>1</v>
      </c>
      <c r="D25" s="44" t="n">
        <v>1</v>
      </c>
      <c r="E25" s="44" t="n">
        <v>1</v>
      </c>
      <c r="F25" s="44" t="n">
        <v>1</v>
      </c>
      <c r="G25" s="44" t="n">
        <v>1</v>
      </c>
    </row>
    <row r="26" customFormat="false" ht="15" hidden="false" customHeight="false" outlineLevel="0" collapsed="false">
      <c r="A26" s="3" t="s">
        <v>285</v>
      </c>
      <c r="B26" s="44" t="n">
        <v>0.4</v>
      </c>
      <c r="C26" s="44" t="n">
        <v>0.4</v>
      </c>
      <c r="D26" s="44" t="n">
        <v>0.4</v>
      </c>
      <c r="E26" s="44" t="n">
        <v>0.4</v>
      </c>
      <c r="F26" s="44" t="n">
        <v>0.4</v>
      </c>
      <c r="G26" s="44" t="n">
        <v>0.4</v>
      </c>
    </row>
    <row r="27" customFormat="false" ht="15" hidden="false" customHeight="false" outlineLevel="0" collapsed="false">
      <c r="A27" s="3" t="s">
        <v>286</v>
      </c>
      <c r="B27" s="44" t="n">
        <v>1.2</v>
      </c>
      <c r="C27" s="44" t="n">
        <v>1.2</v>
      </c>
      <c r="D27" s="44" t="n">
        <v>1.2</v>
      </c>
      <c r="E27" s="44" t="n">
        <v>1.2</v>
      </c>
      <c r="F27" s="44" t="n">
        <v>1.2</v>
      </c>
      <c r="G27" s="44" t="n">
        <v>1.2</v>
      </c>
    </row>
    <row r="28" customFormat="false" ht="15" hidden="false" customHeight="false" outlineLevel="0" collapsed="false">
      <c r="A28" s="3" t="s">
        <v>287</v>
      </c>
      <c r="B28" s="44" t="n">
        <v>10</v>
      </c>
      <c r="C28" s="44" t="n">
        <v>10</v>
      </c>
      <c r="D28" s="44" t="n">
        <v>10</v>
      </c>
      <c r="E28" s="44" t="n">
        <v>15</v>
      </c>
      <c r="F28" s="44" t="n">
        <v>15</v>
      </c>
      <c r="G28" s="44" t="n">
        <v>15</v>
      </c>
    </row>
    <row r="29" customFormat="false" ht="15" hidden="false" customHeight="false" outlineLevel="0" collapsed="false">
      <c r="A29" s="3" t="s">
        <v>288</v>
      </c>
      <c r="B29" s="44" t="n">
        <v>3.1</v>
      </c>
      <c r="C29" s="44" t="n">
        <v>3.1</v>
      </c>
      <c r="D29" s="44" t="n">
        <v>3.1</v>
      </c>
      <c r="E29" s="44" t="n">
        <v>3.1</v>
      </c>
      <c r="F29" s="44" t="n">
        <v>3.1</v>
      </c>
      <c r="G29" s="44" t="n">
        <v>3.1</v>
      </c>
    </row>
    <row r="31" customFormat="false" ht="15" hidden="false" customHeight="false" outlineLevel="0" collapsed="false">
      <c r="A31" s="8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290</v>
      </c>
    </row>
    <row r="3" customFormat="false" ht="15" hidden="false" customHeight="false" outlineLevel="0" collapsed="false">
      <c r="A3" s="9" t="s">
        <v>291</v>
      </c>
      <c r="B3" s="9" t="s">
        <v>292</v>
      </c>
      <c r="C3" s="9" t="s">
        <v>293</v>
      </c>
    </row>
    <row r="4" customFormat="false" ht="15" hidden="false" customHeight="false" outlineLevel="0" collapsed="false">
      <c r="A4" s="3" t="s">
        <v>294</v>
      </c>
      <c r="B4" s="3" t="s">
        <v>295</v>
      </c>
      <c r="C4" s="3" t="s">
        <v>296</v>
      </c>
    </row>
    <row r="5" customFormat="false" ht="15" hidden="false" customHeight="false" outlineLevel="0" collapsed="false">
      <c r="A5" s="3" t="s">
        <v>297</v>
      </c>
      <c r="B5" s="3" t="s">
        <v>298</v>
      </c>
      <c r="C5" s="3" t="s">
        <v>299</v>
      </c>
    </row>
    <row r="6" customFormat="false" ht="15" hidden="false" customHeight="false" outlineLevel="0" collapsed="false">
      <c r="A6" s="3" t="s">
        <v>300</v>
      </c>
      <c r="B6" s="3" t="s">
        <v>301</v>
      </c>
      <c r="C6" s="3" t="s">
        <v>302</v>
      </c>
    </row>
    <row r="7" customFormat="false" ht="15" hidden="false" customHeight="false" outlineLevel="0" collapsed="false">
      <c r="A7" s="3" t="s">
        <v>303</v>
      </c>
      <c r="B7" s="3" t="s">
        <v>304</v>
      </c>
      <c r="C7" s="3" t="s">
        <v>301</v>
      </c>
    </row>
    <row r="8" customFormat="false" ht="15" hidden="false" customHeight="false" outlineLevel="0" collapsed="false">
      <c r="A8" s="3" t="s">
        <v>305</v>
      </c>
      <c r="B8" s="3" t="s">
        <v>306</v>
      </c>
      <c r="C8" s="3" t="s">
        <v>307</v>
      </c>
    </row>
    <row r="9" customFormat="false" ht="15" hidden="false" customHeight="false" outlineLevel="0" collapsed="false">
      <c r="A9" s="3" t="s">
        <v>308</v>
      </c>
      <c r="B9" s="3" t="s">
        <v>309</v>
      </c>
      <c r="C9" s="3" t="s">
        <v>310</v>
      </c>
    </row>
    <row r="10" customFormat="false" ht="15" hidden="false" customHeight="false" outlineLevel="0" collapsed="false">
      <c r="A10" s="3" t="s">
        <v>311</v>
      </c>
      <c r="B10" s="3" t="s">
        <v>304</v>
      </c>
      <c r="C10" s="3" t="s">
        <v>312</v>
      </c>
    </row>
    <row r="11" customFormat="false" ht="15" hidden="false" customHeight="false" outlineLevel="0" collapsed="false">
      <c r="A11" s="3" t="s">
        <v>313</v>
      </c>
      <c r="B11" s="3" t="s">
        <v>314</v>
      </c>
      <c r="C11" s="3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45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316</v>
      </c>
    </row>
    <row r="3" customFormat="false" ht="15" hidden="false" customHeight="false" outlineLevel="0" collapsed="false">
      <c r="A3" s="9" t="s">
        <v>317</v>
      </c>
      <c r="B3" s="9" t="s">
        <v>318</v>
      </c>
      <c r="C3" s="9" t="s">
        <v>319</v>
      </c>
      <c r="D3" s="9" t="s">
        <v>320</v>
      </c>
      <c r="E3" s="9" t="s">
        <v>321</v>
      </c>
    </row>
    <row r="4" customFormat="false" ht="26.85" hidden="false" customHeight="false" outlineLevel="0" collapsed="false">
      <c r="A4" s="45" t="n">
        <v>1</v>
      </c>
      <c r="B4" s="45" t="s">
        <v>25</v>
      </c>
      <c r="C4" s="45" t="s">
        <v>322</v>
      </c>
      <c r="D4" s="45" t="s">
        <v>323</v>
      </c>
      <c r="E4" s="45" t="s">
        <v>324</v>
      </c>
    </row>
    <row r="5" customFormat="false" ht="26.85" hidden="false" customHeight="false" outlineLevel="0" collapsed="false">
      <c r="A5" s="45" t="n">
        <v>2</v>
      </c>
      <c r="B5" s="45" t="s">
        <v>325</v>
      </c>
      <c r="C5" s="45" t="s">
        <v>326</v>
      </c>
      <c r="D5" s="45" t="s">
        <v>327</v>
      </c>
      <c r="E5" s="45" t="s">
        <v>328</v>
      </c>
    </row>
    <row r="6" customFormat="false" ht="26.85" hidden="false" customHeight="false" outlineLevel="0" collapsed="false">
      <c r="A6" s="45" t="n">
        <v>3</v>
      </c>
      <c r="B6" s="45" t="s">
        <v>25</v>
      </c>
      <c r="C6" s="45" t="s">
        <v>329</v>
      </c>
      <c r="D6" s="45" t="s">
        <v>330</v>
      </c>
      <c r="E6" s="45" t="s">
        <v>331</v>
      </c>
    </row>
    <row r="7" customFormat="false" ht="26.85" hidden="false" customHeight="false" outlineLevel="0" collapsed="false">
      <c r="A7" s="45" t="n">
        <v>4</v>
      </c>
      <c r="B7" s="45" t="s">
        <v>325</v>
      </c>
      <c r="C7" s="45" t="s">
        <v>332</v>
      </c>
      <c r="D7" s="45" t="s">
        <v>333</v>
      </c>
      <c r="E7" s="45" t="s">
        <v>334</v>
      </c>
    </row>
    <row r="8" customFormat="false" ht="26.85" hidden="false" customHeight="false" outlineLevel="0" collapsed="false">
      <c r="A8" s="45" t="n">
        <v>5</v>
      </c>
      <c r="B8" s="45" t="s">
        <v>335</v>
      </c>
      <c r="C8" s="45" t="s">
        <v>336</v>
      </c>
      <c r="D8" s="45" t="s">
        <v>337</v>
      </c>
      <c r="E8" s="45" t="s">
        <v>338</v>
      </c>
    </row>
    <row r="9" customFormat="false" ht="39.55" hidden="false" customHeight="false" outlineLevel="0" collapsed="false">
      <c r="A9" s="45" t="n">
        <v>6</v>
      </c>
      <c r="B9" s="45" t="s">
        <v>339</v>
      </c>
      <c r="C9" s="45" t="s">
        <v>340</v>
      </c>
      <c r="D9" s="45" t="s">
        <v>341</v>
      </c>
      <c r="E9" s="45" t="s">
        <v>342</v>
      </c>
    </row>
    <row r="10" customFormat="false" ht="26.85" hidden="false" customHeight="false" outlineLevel="0" collapsed="false">
      <c r="A10" s="45" t="n">
        <v>7</v>
      </c>
      <c r="B10" s="45" t="s">
        <v>25</v>
      </c>
      <c r="C10" s="45" t="s">
        <v>343</v>
      </c>
      <c r="D10" s="45" t="s">
        <v>344</v>
      </c>
      <c r="E10" s="45" t="s">
        <v>345</v>
      </c>
    </row>
    <row r="11" customFormat="false" ht="15" hidden="false" customHeight="false" outlineLevel="0" collapsed="false">
      <c r="A11" s="45" t="n">
        <v>8</v>
      </c>
      <c r="B11" s="45" t="s">
        <v>21</v>
      </c>
      <c r="C11" s="45" t="s">
        <v>346</v>
      </c>
      <c r="D11" s="45" t="s">
        <v>347</v>
      </c>
      <c r="E11" s="45" t="s">
        <v>348</v>
      </c>
    </row>
    <row r="12" customFormat="false" ht="26.85" hidden="false" customHeight="false" outlineLevel="0" collapsed="false">
      <c r="A12" s="45" t="n">
        <v>9</v>
      </c>
      <c r="B12" s="45" t="s">
        <v>19</v>
      </c>
      <c r="C12" s="45" t="s">
        <v>349</v>
      </c>
      <c r="D12" s="45" t="s">
        <v>350</v>
      </c>
      <c r="E12" s="45" t="s">
        <v>351</v>
      </c>
    </row>
    <row r="13" customFormat="false" ht="26.85" hidden="false" customHeight="false" outlineLevel="0" collapsed="false">
      <c r="A13" s="45" t="n">
        <v>10</v>
      </c>
      <c r="B13" s="45" t="s">
        <v>352</v>
      </c>
      <c r="C13" s="45" t="s">
        <v>353</v>
      </c>
      <c r="D13" s="45" t="s">
        <v>354</v>
      </c>
      <c r="E13" s="45" t="s">
        <v>355</v>
      </c>
    </row>
    <row r="14" customFormat="false" ht="39.55" hidden="false" customHeight="false" outlineLevel="0" collapsed="false">
      <c r="A14" s="45" t="n">
        <v>11</v>
      </c>
      <c r="B14" s="45" t="s">
        <v>356</v>
      </c>
      <c r="C14" s="45" t="s">
        <v>357</v>
      </c>
      <c r="D14" s="45" t="s">
        <v>358</v>
      </c>
      <c r="E14" s="45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2026-09-28T16:26:37Z</dcterms:created>
  <dc:creator>openpyxl</dc:creator>
  <dc:description/>
  <dc:language>en-US</dc:language>
  <cp:lastModifiedBy/>
  <dcterms:modified xsi:type="dcterms:W3CDTF">2026-09-28T16:26:37Z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